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66925"/>
  <mc:AlternateContent xmlns:mc="http://schemas.openxmlformats.org/markup-compatibility/2006">
    <mc:Choice Requires="x15">
      <x15ac:absPath xmlns:x15ac="http://schemas.microsoft.com/office/spreadsheetml/2010/11/ac" url="F:\Projects\Accessibility\19-Sep- 2024\Linkedin\R314 Saving and Sharing Cloud Documents\"/>
    </mc:Choice>
  </mc:AlternateContent>
  <xr:revisionPtr revIDLastSave="0" documentId="13_ncr:1_{9CEEA7B0-A1E6-4F07-8B20-D1C1445CAE43}" xr6:coauthVersionLast="47" xr6:coauthVersionMax="47" xr10:uidLastSave="{00000000-0000-0000-0000-000000000000}"/>
  <bookViews>
    <workbookView xWindow="-120" yWindow="-120" windowWidth="29040" windowHeight="15720" tabRatio="771" activeTab="1" xr2:uid="{00000000-000D-0000-FFFF-FFFF00000000}"/>
  </bookViews>
  <sheets>
    <sheet name="Evaluation Summary" sheetId="11" r:id="rId1"/>
    <sheet name="Issue List" sheetId="6" r:id="rId2"/>
    <sheet name="Examples" sheetId="12" r:id="rId3"/>
    <sheet name="Evaluation Environment" sheetId="13" r:id="rId4"/>
    <sheet name="WCAG 2.2 A-AA" sheetId="1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11" l="1"/>
  <c r="B13" i="11"/>
  <c r="B15" i="11"/>
  <c r="B14"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Master_Issue_Tracker" description="Connection to the 'Master_Issue_Tracker' query in the workbook." type="5" refreshedVersion="0" background="1" saveData="1">
    <dbPr connection="Provider=Microsoft.Mashup.OleDb.1;Data Source=$Workbook$;Location=Master_Issue_Tracker;Extended Properties=&quot;&quot;" command="SELECT * FROM [Master_Issue_Tracker]"/>
  </connection>
</connections>
</file>

<file path=xl/sharedStrings.xml><?xml version="1.0" encoding="utf-8"?>
<sst xmlns="http://schemas.openxmlformats.org/spreadsheetml/2006/main" count="260" uniqueCount="218">
  <si>
    <t>Western Governors University</t>
  </si>
  <si>
    <t>Vendor Name:</t>
  </si>
  <si>
    <t>Product Name:</t>
  </si>
  <si>
    <t>URL:</t>
  </si>
  <si>
    <t>Evaluation Date:</t>
  </si>
  <si>
    <t>Evaluation Status:</t>
  </si>
  <si>
    <t>Executive Summary:</t>
  </si>
  <si>
    <t>Evaluator:</t>
  </si>
  <si>
    <t>Critical Issues:</t>
  </si>
  <si>
    <t>Significant Issues:</t>
  </si>
  <si>
    <t xml:space="preserve">Minor Issues: </t>
  </si>
  <si>
    <t>Issue Name</t>
  </si>
  <si>
    <t>WCAG Success Criteria</t>
  </si>
  <si>
    <t>Severity Level</t>
  </si>
  <si>
    <t>Actual Result</t>
  </si>
  <si>
    <t>Expected Result</t>
  </si>
  <si>
    <t>Student Impact</t>
  </si>
  <si>
    <t>Recommendation</t>
  </si>
  <si>
    <t>Issue Persistence</t>
  </si>
  <si>
    <t>Detection Method</t>
  </si>
  <si>
    <t>Location in Asset</t>
  </si>
  <si>
    <t>Example</t>
  </si>
  <si>
    <t>Notes</t>
  </si>
  <si>
    <t>Evaluation Environment</t>
  </si>
  <si>
    <t>Browser or Tool</t>
  </si>
  <si>
    <t>Version</t>
  </si>
  <si>
    <t>Windows 11</t>
  </si>
  <si>
    <t>MacOS</t>
  </si>
  <si>
    <t>Google Chrome</t>
  </si>
  <si>
    <t>Firefox</t>
  </si>
  <si>
    <t>Microsoft Edge</t>
  </si>
  <si>
    <t>NonVisual Desktop Access (NVDA)</t>
  </si>
  <si>
    <t>Job Access With Speech (JAWS)</t>
  </si>
  <si>
    <t>PDF Accessibility Checker (PAC) 2024</t>
  </si>
  <si>
    <t>24.0.0.1</t>
  </si>
  <si>
    <t>Colour Contrast Analyser (CCA)</t>
  </si>
  <si>
    <t>3.4.2</t>
  </si>
  <si>
    <t>Adobe Digital Editions (ADE)</t>
  </si>
  <si>
    <t>4.5.12.112</t>
  </si>
  <si>
    <t>WAVE Evaluation Tool (WAVE)</t>
  </si>
  <si>
    <t>Accessibility Insights for Web</t>
  </si>
  <si>
    <t>2.41.0</t>
  </si>
  <si>
    <t>IBM Equal Access Accessibility Checker</t>
  </si>
  <si>
    <t>axe DevTools</t>
  </si>
  <si>
    <t>Lighthouse</t>
  </si>
  <si>
    <t>Adobe Acrobat Pro</t>
  </si>
  <si>
    <t>WCAG Criterion</t>
  </si>
  <si>
    <t>1.1.1 Non-text Content (A)</t>
  </si>
  <si>
    <t>1.2.1 Audio-only and Video-only (Prerecorded) (A)</t>
  </si>
  <si>
    <t>1.2.2 Captions (Prerecorded) (A)</t>
  </si>
  <si>
    <t>1.2.3 Audio Description or Media Alternative (Prerecorded) (A)</t>
  </si>
  <si>
    <t>1.2.4 Captions (Live) (AA)</t>
  </si>
  <si>
    <t>1.2.5 Audio Description (Prerecorded) (AA)</t>
  </si>
  <si>
    <t>1.3.1 Info and Relationships (A)</t>
  </si>
  <si>
    <t>1.3.2 Meaningful Sequence (A)</t>
  </si>
  <si>
    <t>1.3.3 Sensory Characteristics (A)</t>
  </si>
  <si>
    <t>1.3.4 Orientation (AA)</t>
  </si>
  <si>
    <t>1.3.5 Identify Input Purpose (AA)</t>
  </si>
  <si>
    <t>1.4.1 Use of Color (A)</t>
  </si>
  <si>
    <t>1.4.10 Reflow (AA)</t>
  </si>
  <si>
    <t>1.4.11 Non-text Contrast (AA)</t>
  </si>
  <si>
    <t>1.4.12 Text Spacing (AA)</t>
  </si>
  <si>
    <t>1.4.13 Content on Hover or Focus (AA)</t>
  </si>
  <si>
    <t>1.4.2 Audio Control (A)</t>
  </si>
  <si>
    <t>1.4.3 Contrast (Minimum) (AA)</t>
  </si>
  <si>
    <t>1.4.4 Resize Text (AA)</t>
  </si>
  <si>
    <t>1.4.5 Images of Text (AA)</t>
  </si>
  <si>
    <t>2.1.1 Keyboard (A)</t>
  </si>
  <si>
    <t>2.1.2 No Keyboard Trap (A)</t>
  </si>
  <si>
    <t>2.1.4 Character Key Shortcuts (A)</t>
  </si>
  <si>
    <t>2.2.1 Timing Adjustable (A)</t>
  </si>
  <si>
    <t>2.2.2 Pause, Stop, Hide (A)</t>
  </si>
  <si>
    <t>2.3.1 Three Flashes or Below Threshold (A)</t>
  </si>
  <si>
    <t>2.4.1 Bypass Blocks (A)</t>
  </si>
  <si>
    <t>2.4.11 Focus Not Obscured (Minimum) (AA)</t>
  </si>
  <si>
    <t>2.4.2 Page Titled (A)</t>
  </si>
  <si>
    <t>2.4.3 Focus Order (A)</t>
  </si>
  <si>
    <t>2.4.4 Link Purpose (In Context) (A)</t>
  </si>
  <si>
    <t>2.4.5 Multiple Ways (AA)</t>
  </si>
  <si>
    <t>2.4.6 Headings and Labels (AA)</t>
  </si>
  <si>
    <t>2.4.7 Focus Visible (AA)</t>
  </si>
  <si>
    <t>2.5.1 Pointer Gestures (A)</t>
  </si>
  <si>
    <t>2.5.2 Pointer Cancellation (A)</t>
  </si>
  <si>
    <t>2.5.3 Label in Name (A)</t>
  </si>
  <si>
    <t>2.5.4 Motion Actuation (A)</t>
  </si>
  <si>
    <t>2.5.7 Dragging Movements (AA)</t>
  </si>
  <si>
    <t>2.5.8 Target Size (Minimum) (AA)</t>
  </si>
  <si>
    <t>3.1.1 Language of Page (A)</t>
  </si>
  <si>
    <t>3.1.2 Language of Parts (AA)</t>
  </si>
  <si>
    <t>3.2.1 On Focus (A)</t>
  </si>
  <si>
    <t>3.2.2 On Input (A)</t>
  </si>
  <si>
    <t>3.2.3 Consistent Navigation (AA)</t>
  </si>
  <si>
    <t>3.2.4 Consistent Identification (AA)</t>
  </si>
  <si>
    <t>3.2.6 Consistent Help (A)</t>
  </si>
  <si>
    <t>3.3.1 Error Identification (A)</t>
  </si>
  <si>
    <t>3.3.2 Labels or Instructions (A)</t>
  </si>
  <si>
    <t>3.3.3 Error Suggestion (AA)</t>
  </si>
  <si>
    <t>3.3.4 Error Prevention (Legal, Financial, Data) (AA)</t>
  </si>
  <si>
    <t>3.3.7 Redundant Entry (A)</t>
  </si>
  <si>
    <t>3.3.8 Accessible Authentication (Minimum) (AA)</t>
  </si>
  <si>
    <t>4.1.2 Name, Role, Value (A)</t>
  </si>
  <si>
    <t>4.1.3 Status Messages (AA)</t>
  </si>
  <si>
    <t>ANDI</t>
  </si>
  <si>
    <t>29.1.1</t>
  </si>
  <si>
    <t>124.0.1</t>
  </si>
  <si>
    <t>123.0.2420.65</t>
  </si>
  <si>
    <t>3.2.5.3</t>
  </si>
  <si>
    <t>2023.2402.1</t>
  </si>
  <si>
    <t>3.1.68</t>
  </si>
  <si>
    <t>4.8.4</t>
  </si>
  <si>
    <t>11.5.0</t>
  </si>
  <si>
    <t>2024.001.20629</t>
  </si>
  <si>
    <t>Learning Resource (LR) - Accessibility Evaluation Report</t>
  </si>
  <si>
    <t>LR Format:</t>
  </si>
  <si>
    <t>Minor</t>
  </si>
  <si>
    <t>Single</t>
  </si>
  <si>
    <t>Critical</t>
  </si>
  <si>
    <t>Screen reader</t>
  </si>
  <si>
    <t>Video</t>
  </si>
  <si>
    <t>Linkedin</t>
  </si>
  <si>
    <t xml:space="preserve">Clicking on the my profile icon should display the entire menu content fully visible and accessible without any cropping </t>
  </si>
  <si>
    <t>User may enable to view or interact with all the menu items leading to incomplete access of the profile options and a diminished user experience.</t>
  </si>
  <si>
    <t xml:space="preserve">Adjust the manual display to ensure all the content is fully visible without cropping when my profile icon is clicked </t>
  </si>
  <si>
    <t>The screen reader should read the content of the pop-up line by line.</t>
  </si>
  <si>
    <t>Non-interactive element receives keyboard focus</t>
  </si>
  <si>
    <t>Non-interactive content after the "Overview" and Q&amp;A tab receives keyboard focus.</t>
  </si>
  <si>
    <t>Keyboard tab focus should only be availbale for the interactive elements.</t>
  </si>
  <si>
    <t>Color alone is used solely to represent links</t>
  </si>
  <si>
    <t>The Links should have color contrast of atleast 3:1 with its surrounding text and it should be underlines on hover</t>
  </si>
  <si>
    <t>Students may face issue while accessing the links</t>
  </si>
  <si>
    <t>Links should be underlined and should maintain 3:1 with its foreground text</t>
  </si>
  <si>
    <t>Global</t>
  </si>
  <si>
    <t>Keyboard tab navigation</t>
  </si>
  <si>
    <t xml:space="preserve">Student may confuse With the information they get from the screen reader as it is reading the complete information at once. </t>
  </si>
  <si>
    <t>Ensure the screen reader reads the content on keyboard navigation.</t>
  </si>
  <si>
    <t xml:space="preserve">Screen reader </t>
  </si>
  <si>
    <t xml:space="preserve">Student may Lead to the wrong information </t>
  </si>
  <si>
    <t>Partial</t>
  </si>
  <si>
    <r>
      <t>List mark up is missing for the left navigation.
Naviagte to theHome tab tab&gt;&gt; Check its code that the list mark up are missing for &lt;&lt;</t>
    </r>
    <r>
      <rPr>
        <b/>
        <sz val="12"/>
        <color theme="1"/>
        <rFont val="Arial"/>
        <family val="2"/>
      </rPr>
      <t>Home, my career journey, my library content, ai coaching, coding practise, certification .</t>
    </r>
  </si>
  <si>
    <t>Alt text is missing</t>
  </si>
  <si>
    <t>Navigate to the Footer section&gt; Linkedin Logo &gt;&gt; Observe that the Alt text is not provided.</t>
  </si>
  <si>
    <t>Alt text should be provided for the linked in logo.</t>
  </si>
  <si>
    <t>Student rely on the assistive technologies may leads to the incomplete information.</t>
  </si>
  <si>
    <t>Ensure the alt is provided to the linkedin logo &lt;img alt="Linkedin logo" &gt;</t>
  </si>
  <si>
    <t>Footer section&gt;Linkedin Logo</t>
  </si>
  <si>
    <t>All the content is render by the screen reader in just one go.</t>
  </si>
  <si>
    <t>Naviagte to the My profile icon and Observe the the screen reader is rendering the content in one go..</t>
  </si>
  <si>
    <r>
      <t>Clicking on the "My Profile" icon and observe the the "</t>
    </r>
    <r>
      <rPr>
        <b/>
        <sz val="12"/>
        <color theme="1"/>
        <rFont val="Arial"/>
        <family val="2"/>
      </rPr>
      <t>TestGuyLead1541098287488 TestGuyLead1541098287488
Western Governors University"</t>
    </r>
    <r>
      <rPr>
        <sz val="12"/>
        <color theme="1"/>
        <rFont val="Arial"/>
        <family val="2"/>
      </rPr>
      <t xml:space="preserve"> the menu content to appear partially cropped, rendering it only partially accessible.</t>
    </r>
  </si>
  <si>
    <t>Raj Singh</t>
  </si>
  <si>
    <t>123.0.6312.86</t>
  </si>
  <si>
    <t>2023.3.4.31265</t>
  </si>
  <si>
    <t>https://stackoverflow.com/questions/9900683/how-to-get-a-screen-reader-to-stop-reading-and-read-different-content</t>
  </si>
  <si>
    <t>Screen reader reads everything at once.</t>
  </si>
  <si>
    <t>https://developer.mozilla.org/en-US/docs/Web/Accessibility/Understanding_WCAG/Keyboard</t>
  </si>
  <si>
    <t>Minor Remediation</t>
  </si>
  <si>
    <t>23H2</t>
  </si>
  <si>
    <t>Manual inspection and reflow (320*256)</t>
  </si>
  <si>
    <t>Top Panel &gt; My profile,Language button,</t>
  </si>
  <si>
    <t>Reading order is incorrect</t>
  </si>
  <si>
    <t>While we navigates to the overview tab &gt;&gt;screen reader reads the content of the overview tab and directly jumps out of the footer tab instead of navigating to the next side tabs</t>
  </si>
  <si>
    <t xml:space="preserve">Focus should move to the next intractive tab </t>
  </si>
  <si>
    <t>Student may leads to the incomplete information</t>
  </si>
  <si>
    <t xml:space="preserve">Ensure the proper tab indexing </t>
  </si>
  <si>
    <t>&gt;&gt;Overview,Notebook,Q&amp;A,Transcript,</t>
  </si>
  <si>
    <t>Color Alone used to define link such as "Show all" in overview tab.
Color is solely used to determine the links in footer without providing an underline on hovering.</t>
  </si>
  <si>
    <t>&gt;&gt;Overview,Notebook,Q&amp;A,Transcript,
banner land mark &gt;&gt; top on the page &gt;&gt; 'Accessibility Feedback' button on the right side</t>
  </si>
  <si>
    <t>List markup is missing or inaccurate</t>
  </si>
  <si>
    <t>Lists should be properly marked up with &lt;ul&gt;, &lt;ol&gt;, and &lt;li&gt; elements.    Controls should be organized in a list for better screen reader navigation.</t>
  </si>
  <si>
    <t>Screen readers may not properly announce navigation items, causing confusion.</t>
  </si>
  <si>
    <t>Apply correct semantic HTML for lists to ensure proper screen reader behavior.</t>
  </si>
  <si>
    <t>State' information is not announced by screen reader</t>
  </si>
  <si>
    <t>Significant</t>
  </si>
  <si>
    <t>Screen reader does not announce expanded state information on the 'Skip to section' dropdown control on activating it.</t>
  </si>
  <si>
    <t>Screen reader should announce "Skip to section, expanded" or "collapsed" based on the state.</t>
  </si>
  <si>
    <t>Screen reader users may not understand the current state of the control.</t>
  </si>
  <si>
    <t>Update ARIA attributes to correctly reflect the expanded/collapsed state.</t>
  </si>
  <si>
    <t>Screen Reader</t>
  </si>
  <si>
    <t>Jump Menu Navigation' land mark &gt;&gt; top on the page &gt;&gt; 'Skip to section' drop-down control.</t>
  </si>
  <si>
    <t>Visual and progrmmaticaly defined names are different</t>
  </si>
  <si>
    <r>
      <rPr>
        <sz val="13"/>
        <color rgb="FF1F1F1F"/>
        <rFont val="Calibri"/>
        <family val="2"/>
        <scheme val="minor"/>
      </rPr>
      <t>4.1.2 Name, Role, Value (A)</t>
    </r>
  </si>
  <si>
    <t>Screen reader announces a different name than the visually present name for the 'Accessibility Feedback button.'</t>
  </si>
  <si>
    <t>Screen reader should announce the same name as visually displayed, "Accessibility Feedback button."</t>
  </si>
  <si>
    <t>Inconsistent labeling can confuse students, leading to misinterpretation of available actions.</t>
  </si>
  <si>
    <t>Synchronize the ARIA label with the visual text to ensure consistency.</t>
  </si>
  <si>
    <t>Screen reader, Manual inspection</t>
  </si>
  <si>
    <t>Jump Menu Navigation' land mark &gt;&gt; top on the page &gt;&gt; 'Accessibility Feedback' button on the right side</t>
  </si>
  <si>
    <t>English AD button  is missing</t>
  </si>
  <si>
    <t>"Audio Description" button is missing for videos.</t>
  </si>
  <si>
    <t>AD button for the videos should be present to provide the  prerecorded video content in synchronized media.</t>
  </si>
  <si>
    <t>People who cannot see or understand the visual content can hear about it while playing videos.</t>
  </si>
  <si>
    <t>Provide a synchronized spoken description of the visual content in videos.</t>
  </si>
  <si>
    <t>Manual inspection</t>
  </si>
  <si>
    <t>&gt;&gt;Video media player</t>
  </si>
  <si>
    <t>Multiple H1 headings</t>
  </si>
  <si>
    <t>Screen reads the  heading that is not present on webpage &gt;&gt;Linkedin learning 
&gt;&gt;&lt;h1 class="a11y-text"&gt;
              LinkedIn Learning
            &lt;/h1&gt;</t>
  </si>
  <si>
    <t xml:space="preserve">There is should be no multiple &lt;h1&gt; heading as per the HTML heirarchy </t>
  </si>
  <si>
    <t>Student may not understand the structure of the heading and also the heading which is not present on webpage</t>
  </si>
  <si>
    <t>Ensure the correct heading level is provided to the content of the webpage</t>
  </si>
  <si>
    <t>&gt;&gt;&lt;h1 class="a11y-text"&gt;
              LinkedIn Learning
            &lt;/h1&gt;</t>
  </si>
  <si>
    <t>keyboard focus is missing for dropdown items</t>
  </si>
  <si>
    <t>&gt;&gt;media player&gt; player speed,Close caption,Setting&gt;
The option present inside these buttons are not navigable using the keyboard.</t>
  </si>
  <si>
    <t>Interactive elements should be navigable through the keyboard</t>
  </si>
  <si>
    <t>Student may not able to locate and use the options that present within these drop down buttons</t>
  </si>
  <si>
    <t>Ensure the proper ARIA attributes and tab-idexing is defined</t>
  </si>
  <si>
    <t>Screen reader and keyboard navigation</t>
  </si>
  <si>
    <t xml:space="preserve">Top Panel &gt; My profile
&gt;&gt;Course title </t>
  </si>
  <si>
    <t>Incorrect focus order for tabs; focus should advance to the next tab after reading the active tab's content.</t>
  </si>
  <si>
    <t>When users finish reading the content of the active tab, the focus should automatically move to the next tab in the sequence, allowing for smooth navigation.</t>
  </si>
  <si>
    <t>This issue disrupts the user experience, particularly for those relying on keyboard navigation or assistive technologies, making it harder to navigate through tabbed content efficiently.</t>
  </si>
  <si>
    <t>Adjust the focus management logic to ensure that focus correctly advances to the next tab after the active tab's content is read. Test the navigation flow to confirm that it meets accessibility standards and provides a seamless experience.</t>
  </si>
  <si>
    <t xml:space="preserve"> The focus order for tabs is incorrect; after reading the content of the active tab, the focus does not advance to the next tab as expected.
&gt;&gt;Active tab Overview ,and next Q&amp;A,notebook,Transcript, tab</t>
  </si>
  <si>
    <t>Tabs below video &gt;&gt;&gt;&gt;&gt;Active tab Overview ,and next Q&amp;A,notebook,Transcript, tab</t>
  </si>
  <si>
    <t xml:space="preserve">&gt;&gt;Media player&gt; player speed,Close caption,Setting&gt;
</t>
  </si>
  <si>
    <t xml:space="preserve">Home tab tab&gt;&gt; Check its code that the list mark up are missing for &lt;&lt;Home, my career journey, my library content, ai coaching, coding practise, certification 
</t>
  </si>
  <si>
    <t>https://www.linkedin.com/learning/photoshop-2023-essential-training/saving-and-sharing-cloud-documents?resume=false&amp;u=2045532</t>
  </si>
  <si>
    <t>19/sept./2024</t>
  </si>
  <si>
    <t>Saving and Sharing Cloud Documents</t>
  </si>
  <si>
    <t>Content cut off by default and on small screens (320x256).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</si>
</sst>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b/>
      <sz val="12"/>
      <color theme="1"/>
      <name val="Arial"/>
      <family val="2"/>
    </font>
    <font>
      <sz val="11"/>
      <color theme="1"/>
      <name val="Calibri"/>
      <family val="2"/>
      <scheme val="minor"/>
    </font>
    <font>
      <b/>
      <sz val="20"/>
      <color rgb="FF003057"/>
      <name val="Arial"/>
      <family val="2"/>
    </font>
    <font>
      <b/>
      <sz val="14"/>
      <color rgb="FF63666A"/>
      <name val="Arial"/>
      <family val="2"/>
    </font>
    <font>
      <u/>
      <sz val="12"/>
      <color theme="10"/>
      <name val="Arial"/>
      <family val="2"/>
    </font>
    <font>
      <b/>
      <sz val="14"/>
      <color rgb="FF003057"/>
      <name val="Arial"/>
      <family val="2"/>
    </font>
    <font>
      <sz val="12"/>
      <color theme="1"/>
      <name val="Arial"/>
      <family val="2"/>
    </font>
    <font>
      <b/>
      <sz val="20"/>
      <color rgb="FF003057"/>
      <name val="Arial"/>
      <family val="2"/>
    </font>
    <font>
      <b/>
      <sz val="14"/>
      <color rgb="FF63666A"/>
      <name val="Arial"/>
      <family val="2"/>
    </font>
    <font>
      <b/>
      <sz val="12"/>
      <color theme="1"/>
      <name val="Arial"/>
      <family val="2"/>
    </font>
    <font>
      <sz val="12"/>
      <color theme="1"/>
      <name val="Arial"/>
      <family val="2"/>
    </font>
    <font>
      <u/>
      <sz val="11"/>
      <color theme="10"/>
      <name val="Calibri"/>
      <family val="2"/>
      <scheme val="minor"/>
    </font>
    <font>
      <strike/>
      <sz val="12"/>
      <color theme="1"/>
      <name val="Arial"/>
      <family val="2"/>
    </font>
    <font>
      <sz val="12"/>
      <color theme="1"/>
      <name val="Arial"/>
      <family val="2"/>
    </font>
    <font>
      <sz val="12"/>
      <color theme="1"/>
      <name val="Aptos Narrow"/>
      <family val="2"/>
    </font>
    <font>
      <sz val="14"/>
      <color theme="1"/>
      <name val="Aptos Narrow"/>
      <family val="2"/>
    </font>
    <font>
      <sz val="13"/>
      <color theme="1"/>
      <name val="Aptos Narrow"/>
      <family val="2"/>
    </font>
    <font>
      <sz val="13"/>
      <color rgb="FF1F1F1F"/>
      <name val="Calibri"/>
      <family val="2"/>
      <scheme val="minor"/>
    </font>
    <font>
      <sz val="12"/>
      <color rgb="FF000000"/>
      <name val="Arial"/>
      <family val="2"/>
    </font>
    <font>
      <sz val="11"/>
      <color rgb="FF000000"/>
      <name val="Calibri"/>
      <family val="2"/>
      <scheme val="minor"/>
    </font>
    <font>
      <b/>
      <sz val="12"/>
      <color rgb="FF000000"/>
      <name val="Arial"/>
      <family val="2"/>
    </font>
    <font>
      <sz val="12"/>
      <color rgb="FF000000"/>
      <name val="Aptos Narrow"/>
      <family val="2"/>
    </font>
    <font>
      <sz val="11"/>
      <color rgb="FF000000"/>
      <name val="Aptos Narrow"/>
      <family val="2"/>
    </font>
    <font>
      <b/>
      <sz val="12"/>
      <color theme="1"/>
      <name val="Aptos Narrow"/>
      <family val="2"/>
    </font>
  </fonts>
  <fills count="9">
    <fill>
      <patternFill patternType="none"/>
    </fill>
    <fill>
      <patternFill patternType="gray125"/>
    </fill>
    <fill>
      <patternFill patternType="solid">
        <fgColor theme="0"/>
        <bgColor rgb="FFD9E1F2"/>
      </patternFill>
    </fill>
    <fill>
      <patternFill patternType="solid">
        <fgColor theme="0"/>
        <bgColor indexed="64"/>
      </patternFill>
    </fill>
    <fill>
      <patternFill patternType="solid">
        <fgColor theme="4" tint="0.59999389629810485"/>
        <bgColor indexed="64"/>
      </patternFill>
    </fill>
    <fill>
      <patternFill patternType="solid">
        <fgColor theme="4" tint="0.59999389629810485"/>
        <bgColor theme="4" tint="0.79998168889431442"/>
      </patternFill>
    </fill>
    <fill>
      <patternFill patternType="solid">
        <fgColor theme="4" tint="0.59999389629810485"/>
        <bgColor rgb="FFD9E1F2"/>
      </patternFill>
    </fill>
    <fill>
      <patternFill patternType="solid">
        <fgColor theme="4" tint="0.59999389629810485"/>
        <bgColor rgb="FF000000"/>
      </patternFill>
    </fill>
    <fill>
      <patternFill patternType="solid">
        <fgColor theme="0"/>
        <bgColor theme="4" tint="0.79998168889431442"/>
      </patternFill>
    </fill>
  </fills>
  <borders count="13">
    <border>
      <left/>
      <right/>
      <top/>
      <bottom/>
      <diagonal/>
    </border>
    <border>
      <left style="medium">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
    <xf numFmtId="0" fontId="0" fillId="0" borderId="0"/>
    <xf numFmtId="9" fontId="6" fillId="0" borderId="0" applyFont="0" applyFill="0" applyBorder="0" applyAlignment="0" applyProtection="0"/>
    <xf numFmtId="0" fontId="9" fillId="0" borderId="0" applyNumberFormat="0" applyFill="0" applyBorder="0" applyAlignment="0" applyProtection="0"/>
    <xf numFmtId="0" fontId="16" fillId="0" borderId="0" applyNumberFormat="0" applyFill="0" applyBorder="0" applyAlignment="0" applyProtection="0"/>
  </cellStyleXfs>
  <cellXfs count="93">
    <xf numFmtId="0" fontId="0" fillId="0" borderId="0" xfId="0"/>
    <xf numFmtId="0" fontId="4" fillId="0" borderId="0" xfId="0" applyFont="1" applyAlignment="1">
      <alignment horizontal="left" vertical="center"/>
    </xf>
    <xf numFmtId="0" fontId="9" fillId="0" borderId="0" xfId="2" quotePrefix="1" applyBorder="1" applyAlignment="1">
      <alignment vertical="center" wrapText="1"/>
    </xf>
    <xf numFmtId="0" fontId="7" fillId="0" borderId="0" xfId="0" applyFont="1" applyAlignment="1">
      <alignment vertical="center"/>
    </xf>
    <xf numFmtId="0" fontId="8" fillId="0" borderId="0" xfId="0" applyFont="1" applyAlignment="1">
      <alignment vertical="center"/>
    </xf>
    <xf numFmtId="0" fontId="5" fillId="0" borderId="0" xfId="0" applyFont="1" applyAlignment="1">
      <alignment vertical="center"/>
    </xf>
    <xf numFmtId="0" fontId="9" fillId="0" borderId="0" xfId="2"/>
    <xf numFmtId="0" fontId="3" fillId="0" borderId="0" xfId="0" applyFont="1"/>
    <xf numFmtId="0" fontId="2" fillId="0" borderId="0" xfId="0" applyFont="1" applyAlignment="1">
      <alignment horizontal="left" vertical="center"/>
    </xf>
    <xf numFmtId="0" fontId="2" fillId="0" borderId="0" xfId="0" applyFont="1"/>
    <xf numFmtId="0" fontId="11" fillId="0" borderId="0" xfId="0" applyFont="1" applyAlignment="1">
      <alignment horizontal="left" vertical="center"/>
    </xf>
    <xf numFmtId="0" fontId="14" fillId="0" borderId="0" xfId="0" applyFont="1" applyAlignment="1">
      <alignment horizontal="left" vertical="center"/>
    </xf>
    <xf numFmtId="0" fontId="14" fillId="0" borderId="2" xfId="0" applyFont="1" applyBorder="1" applyAlignment="1">
      <alignment vertical="center" wrapText="1"/>
    </xf>
    <xf numFmtId="0" fontId="14" fillId="0" borderId="3" xfId="0" applyFont="1" applyBorder="1" applyAlignment="1">
      <alignment vertical="center" wrapText="1"/>
    </xf>
    <xf numFmtId="0" fontId="11" fillId="0" borderId="5" xfId="0" applyFont="1" applyBorder="1" applyAlignment="1">
      <alignment horizontal="center" vertical="center" wrapText="1"/>
    </xf>
    <xf numFmtId="0" fontId="14" fillId="0" borderId="3" xfId="0" applyFont="1" applyBorder="1" applyAlignment="1">
      <alignment vertical="center"/>
    </xf>
    <xf numFmtId="0" fontId="11" fillId="0" borderId="5" xfId="0" applyFont="1" applyBorder="1" applyAlignment="1">
      <alignment horizontal="center" vertical="center"/>
    </xf>
    <xf numFmtId="0" fontId="11" fillId="0" borderId="5" xfId="0" applyFont="1" applyBorder="1" applyAlignment="1">
      <alignment horizontal="left" vertical="center" wrapText="1"/>
    </xf>
    <xf numFmtId="0" fontId="14" fillId="0" borderId="6" xfId="0" applyFont="1" applyBorder="1" applyAlignment="1">
      <alignment horizontal="left" vertical="center"/>
    </xf>
    <xf numFmtId="0" fontId="11" fillId="0" borderId="7" xfId="0" applyFont="1" applyBorder="1" applyAlignment="1">
      <alignment horizontal="left" vertical="center" wrapText="1"/>
    </xf>
    <xf numFmtId="0" fontId="2" fillId="0" borderId="0" xfId="0" quotePrefix="1" applyFont="1" applyAlignment="1">
      <alignment vertical="center" wrapText="1"/>
    </xf>
    <xf numFmtId="9" fontId="2" fillId="0" borderId="0" xfId="1" applyFont="1" applyAlignment="1">
      <alignment horizontal="left" vertical="center"/>
    </xf>
    <xf numFmtId="14" fontId="2" fillId="0" borderId="0" xfId="0" quotePrefix="1" applyNumberFormat="1" applyFont="1" applyAlignment="1">
      <alignment vertical="center" wrapText="1"/>
    </xf>
    <xf numFmtId="12" fontId="2" fillId="0" borderId="0" xfId="0" applyNumberFormat="1" applyFont="1" applyAlignment="1">
      <alignment horizontal="left" vertical="center"/>
    </xf>
    <xf numFmtId="0" fontId="2" fillId="0" borderId="0" xfId="0" applyFont="1" applyAlignment="1">
      <alignment vertical="center" wrapText="1"/>
    </xf>
    <xf numFmtId="0" fontId="2" fillId="0" borderId="1" xfId="0" applyFont="1" applyBorder="1" applyAlignment="1">
      <alignment vertical="center" wrapText="1"/>
    </xf>
    <xf numFmtId="0" fontId="2" fillId="0" borderId="0" xfId="0" applyFont="1" applyAlignment="1">
      <alignment horizontal="left" vertical="center" wrapText="1"/>
    </xf>
    <xf numFmtId="0" fontId="1" fillId="0" borderId="0" xfId="0" applyFont="1" applyAlignment="1">
      <alignment horizontal="left" vertical="center" wrapText="1"/>
    </xf>
    <xf numFmtId="0" fontId="1" fillId="0" borderId="4" xfId="0" applyFont="1" applyBorder="1" applyAlignment="1">
      <alignment horizontal="center" vertical="center" wrapText="1"/>
    </xf>
    <xf numFmtId="0" fontId="1" fillId="0" borderId="0" xfId="0" applyFont="1" applyAlignment="1">
      <alignment horizontal="left" vertical="top" wrapText="1"/>
    </xf>
    <xf numFmtId="14" fontId="1" fillId="0" borderId="5" xfId="0" applyNumberFormat="1" applyFont="1" applyBorder="1" applyAlignment="1">
      <alignment horizontal="center" vertical="center" wrapText="1"/>
    </xf>
    <xf numFmtId="0" fontId="4" fillId="0" borderId="0" xfId="0" applyFont="1" applyAlignment="1">
      <alignment wrapText="1"/>
    </xf>
    <xf numFmtId="0" fontId="0" fillId="0" borderId="0" xfId="0" applyAlignment="1">
      <alignment wrapText="1"/>
    </xf>
    <xf numFmtId="0" fontId="1" fillId="0" borderId="5" xfId="0" applyFont="1" applyBorder="1" applyAlignment="1">
      <alignment horizontal="center" vertical="center" wrapText="1"/>
    </xf>
    <xf numFmtId="0" fontId="2" fillId="0" borderId="8" xfId="0" applyFont="1" applyBorder="1" applyAlignment="1">
      <alignment horizontal="left" vertical="top" wrapText="1"/>
    </xf>
    <xf numFmtId="0" fontId="2" fillId="0" borderId="8" xfId="0" applyFont="1" applyBorder="1" applyAlignment="1">
      <alignment vertical="top" wrapText="1"/>
    </xf>
    <xf numFmtId="0" fontId="4" fillId="0" borderId="8" xfId="0" applyFont="1" applyBorder="1" applyAlignment="1">
      <alignment vertical="top" wrapText="1"/>
    </xf>
    <xf numFmtId="0" fontId="15" fillId="0" borderId="8" xfId="0" applyFont="1" applyBorder="1" applyAlignment="1">
      <alignment horizontal="left" vertical="top" wrapText="1"/>
    </xf>
    <xf numFmtId="0" fontId="1" fillId="0" borderId="8" xfId="0" applyFont="1" applyBorder="1" applyAlignment="1">
      <alignment horizontal="left" vertical="top" wrapText="1"/>
    </xf>
    <xf numFmtId="0" fontId="0" fillId="0" borderId="8" xfId="0" applyBorder="1" applyAlignment="1">
      <alignment vertical="top" wrapText="1"/>
    </xf>
    <xf numFmtId="0" fontId="17" fillId="0" borderId="8" xfId="0" applyFont="1" applyBorder="1" applyAlignment="1">
      <alignment vertical="top" wrapText="1"/>
    </xf>
    <xf numFmtId="0" fontId="1" fillId="0" borderId="8" xfId="0" applyFont="1" applyBorder="1" applyAlignment="1">
      <alignment vertical="top" wrapText="1"/>
    </xf>
    <xf numFmtId="0" fontId="3" fillId="0" borderId="0" xfId="0" applyFont="1" applyAlignment="1">
      <alignment horizontal="left" vertical="top" wrapText="1"/>
    </xf>
    <xf numFmtId="0" fontId="18" fillId="0" borderId="11" xfId="0" applyFont="1" applyBorder="1" applyAlignment="1">
      <alignment horizontal="left" vertical="top" wrapText="1"/>
    </xf>
    <xf numFmtId="0" fontId="9" fillId="0" borderId="11" xfId="2" applyBorder="1" applyAlignment="1">
      <alignment horizontal="left" vertical="top" wrapText="1"/>
    </xf>
    <xf numFmtId="0" fontId="18" fillId="0" borderId="12" xfId="0" applyFont="1" applyBorder="1" applyAlignment="1">
      <alignment horizontal="left" vertical="top" wrapText="1"/>
    </xf>
    <xf numFmtId="0" fontId="9" fillId="0" borderId="9" xfId="2" applyBorder="1" applyAlignment="1">
      <alignment wrapText="1"/>
    </xf>
    <xf numFmtId="0" fontId="19" fillId="0" borderId="8" xfId="0" applyFont="1" applyBorder="1" applyAlignment="1">
      <alignment horizontal="left" vertical="top" wrapText="1"/>
    </xf>
    <xf numFmtId="0" fontId="20" fillId="0" borderId="8" xfId="0" applyFont="1" applyBorder="1" applyAlignment="1">
      <alignment horizontal="left" vertical="top" wrapText="1"/>
    </xf>
    <xf numFmtId="0" fontId="0" fillId="0" borderId="8" xfId="0" applyBorder="1" applyAlignment="1">
      <alignment horizontal="left" vertical="top" wrapText="1"/>
    </xf>
    <xf numFmtId="0" fontId="1" fillId="0" borderId="11" xfId="0" applyFont="1" applyBorder="1" applyAlignment="1">
      <alignment horizontal="left" vertical="top" wrapText="1"/>
    </xf>
    <xf numFmtId="0" fontId="23" fillId="2" borderId="8" xfId="0" applyFont="1" applyFill="1" applyBorder="1" applyAlignment="1">
      <alignment horizontal="left" vertical="top" wrapText="1"/>
    </xf>
    <xf numFmtId="0" fontId="27" fillId="0" borderId="0" xfId="0" applyFont="1"/>
    <xf numFmtId="0" fontId="5" fillId="0" borderId="8" xfId="0" applyFont="1" applyBorder="1" applyAlignment="1">
      <alignment horizontal="left" vertical="top" wrapText="1"/>
    </xf>
    <xf numFmtId="0" fontId="5" fillId="0" borderId="10" xfId="0" applyFont="1" applyBorder="1" applyAlignment="1">
      <alignment horizontal="left" vertical="top" wrapText="1"/>
    </xf>
    <xf numFmtId="0" fontId="5" fillId="0" borderId="8" xfId="0" applyFont="1" applyBorder="1" applyAlignment="1">
      <alignment vertical="top" wrapText="1"/>
    </xf>
    <xf numFmtId="0" fontId="28" fillId="0" borderId="8" xfId="0" applyFont="1" applyBorder="1" applyAlignment="1">
      <alignment horizontal="left" vertical="top" wrapText="1"/>
    </xf>
    <xf numFmtId="0" fontId="5" fillId="0" borderId="0" xfId="0" applyFont="1" applyAlignment="1">
      <alignment wrapText="1"/>
    </xf>
    <xf numFmtId="0" fontId="5" fillId="4" borderId="8" xfId="0" applyFont="1" applyFill="1" applyBorder="1" applyAlignment="1">
      <alignment horizontal="left" vertical="top" wrapText="1"/>
    </xf>
    <xf numFmtId="0" fontId="15" fillId="4" borderId="8" xfId="0" applyFont="1" applyFill="1" applyBorder="1" applyAlignment="1">
      <alignment horizontal="left" vertical="top" wrapText="1"/>
    </xf>
    <xf numFmtId="0" fontId="1" fillId="4" borderId="8" xfId="0" applyFont="1" applyFill="1" applyBorder="1" applyAlignment="1">
      <alignment horizontal="left" vertical="top" wrapText="1"/>
    </xf>
    <xf numFmtId="0" fontId="9" fillId="4" borderId="8" xfId="2" applyFill="1" applyBorder="1" applyAlignment="1">
      <alignment horizontal="left" vertical="top" wrapText="1"/>
    </xf>
    <xf numFmtId="0" fontId="17" fillId="4" borderId="8" xfId="0" applyFont="1" applyFill="1" applyBorder="1" applyAlignment="1">
      <alignment vertical="top" wrapText="1"/>
    </xf>
    <xf numFmtId="0" fontId="1" fillId="5" borderId="8" xfId="0" applyFont="1" applyFill="1" applyBorder="1" applyAlignment="1">
      <alignment horizontal="left" vertical="top" wrapText="1"/>
    </xf>
    <xf numFmtId="0" fontId="1" fillId="4" borderId="8" xfId="0" applyFont="1" applyFill="1" applyBorder="1" applyAlignment="1">
      <alignment vertical="top" wrapText="1"/>
    </xf>
    <xf numFmtId="0" fontId="0" fillId="4" borderId="8" xfId="0" applyFill="1" applyBorder="1" applyAlignment="1">
      <alignment vertical="top" wrapText="1"/>
    </xf>
    <xf numFmtId="0" fontId="5" fillId="4" borderId="8" xfId="0" applyFont="1" applyFill="1" applyBorder="1" applyAlignment="1">
      <alignment vertical="top" wrapText="1"/>
    </xf>
    <xf numFmtId="0" fontId="28" fillId="4" borderId="8" xfId="0" applyFont="1" applyFill="1" applyBorder="1" applyAlignment="1">
      <alignment horizontal="left" vertical="top" wrapText="1"/>
    </xf>
    <xf numFmtId="0" fontId="21" fillId="4" borderId="8" xfId="0" applyFont="1" applyFill="1" applyBorder="1" applyAlignment="1">
      <alignment horizontal="left" vertical="top" wrapText="1"/>
    </xf>
    <xf numFmtId="0" fontId="19" fillId="4" borderId="8" xfId="0" applyFont="1" applyFill="1" applyBorder="1" applyAlignment="1">
      <alignment horizontal="left" vertical="top" wrapText="1"/>
    </xf>
    <xf numFmtId="0" fontId="20" fillId="4" borderId="8" xfId="0" applyFont="1" applyFill="1" applyBorder="1" applyAlignment="1">
      <alignment horizontal="left" vertical="top" wrapText="1"/>
    </xf>
    <xf numFmtId="0" fontId="0" fillId="4" borderId="8" xfId="0" applyFill="1" applyBorder="1" applyAlignment="1">
      <alignment horizontal="left" vertical="top" wrapText="1"/>
    </xf>
    <xf numFmtId="0" fontId="25" fillId="4" borderId="8" xfId="0" applyFont="1" applyFill="1" applyBorder="1" applyAlignment="1">
      <alignment vertical="top" wrapText="1"/>
    </xf>
    <xf numFmtId="0" fontId="23" fillId="6" borderId="8" xfId="0" applyFont="1" applyFill="1" applyBorder="1" applyAlignment="1">
      <alignment horizontal="left" vertical="top" wrapText="1"/>
    </xf>
    <xf numFmtId="0" fontId="23" fillId="4" borderId="8" xfId="0" applyFont="1" applyFill="1" applyBorder="1" applyAlignment="1">
      <alignment vertical="top" wrapText="1"/>
    </xf>
    <xf numFmtId="0" fontId="24" fillId="4" borderId="8" xfId="0" applyFont="1" applyFill="1" applyBorder="1" applyAlignment="1">
      <alignment vertical="top" wrapText="1"/>
    </xf>
    <xf numFmtId="0" fontId="25" fillId="7" borderId="8" xfId="0" applyFont="1" applyFill="1" applyBorder="1" applyAlignment="1">
      <alignment wrapText="1"/>
    </xf>
    <xf numFmtId="0" fontId="23" fillId="4" borderId="8" xfId="0" applyFont="1" applyFill="1" applyBorder="1" applyAlignment="1">
      <alignment wrapText="1"/>
    </xf>
    <xf numFmtId="0" fontId="24" fillId="7" borderId="8" xfId="0" applyFont="1" applyFill="1" applyBorder="1" applyAlignment="1">
      <alignment wrapText="1"/>
    </xf>
    <xf numFmtId="0" fontId="26" fillId="7" borderId="8" xfId="0" applyFont="1" applyFill="1" applyBorder="1" applyAlignment="1">
      <alignment horizontal="left" vertical="top" wrapText="1"/>
    </xf>
    <xf numFmtId="0" fontId="24" fillId="4" borderId="8" xfId="0" applyFont="1" applyFill="1" applyBorder="1" applyAlignment="1">
      <alignment wrapText="1"/>
    </xf>
    <xf numFmtId="0" fontId="1" fillId="4" borderId="8" xfId="0" applyFont="1" applyFill="1" applyBorder="1"/>
    <xf numFmtId="0" fontId="5" fillId="3" borderId="0" xfId="0" applyFont="1" applyFill="1" applyAlignment="1">
      <alignment wrapText="1"/>
    </xf>
    <xf numFmtId="0" fontId="1" fillId="8" borderId="8" xfId="0" applyFont="1" applyFill="1" applyBorder="1" applyAlignment="1">
      <alignment horizontal="left" vertical="top" wrapText="1"/>
    </xf>
    <xf numFmtId="0" fontId="1" fillId="3" borderId="0" xfId="0" applyFont="1" applyFill="1" applyAlignment="1">
      <alignment wrapText="1"/>
    </xf>
    <xf numFmtId="0" fontId="0" fillId="3" borderId="0" xfId="0" applyFill="1" applyAlignment="1">
      <alignment wrapText="1"/>
    </xf>
    <xf numFmtId="0" fontId="25" fillId="3" borderId="8" xfId="0" applyFont="1" applyFill="1" applyBorder="1" applyAlignment="1">
      <alignment horizontal="left" vertical="top" wrapText="1"/>
    </xf>
    <xf numFmtId="0" fontId="23" fillId="3" borderId="8" xfId="0" applyFont="1" applyFill="1" applyBorder="1" applyAlignment="1">
      <alignment vertical="top" wrapText="1"/>
    </xf>
    <xf numFmtId="0" fontId="24" fillId="3" borderId="8" xfId="0" applyFont="1" applyFill="1" applyBorder="1" applyAlignment="1">
      <alignment vertical="top" wrapText="1"/>
    </xf>
    <xf numFmtId="0" fontId="1" fillId="3" borderId="8" xfId="0" applyFont="1" applyFill="1" applyBorder="1" applyAlignment="1">
      <alignment vertical="top"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0" fillId="0" borderId="0" xfId="0" applyFont="1" applyAlignment="1">
      <alignment horizontal="center" vertical="center" wrapText="1"/>
    </xf>
  </cellXfs>
  <cellStyles count="4">
    <cellStyle name="Hyperlink" xfId="2" builtinId="8" customBuiltin="1"/>
    <cellStyle name="Hyperlink 2" xfId="3" xr:uid="{00000000-0005-0000-0000-000001000000}"/>
    <cellStyle name="Normal" xfId="0" builtinId="0"/>
    <cellStyle name="Percent" xfId="1" builtinId="5"/>
  </cellStyles>
  <dxfs count="36">
    <dxf>
      <font>
        <b/>
        <i val="0"/>
        <strike val="0"/>
      </font>
      <fill>
        <patternFill>
          <bgColor theme="9" tint="0.59996337778862885"/>
        </patternFill>
      </fill>
      <border>
        <left style="thin">
          <color auto="1"/>
        </left>
        <right style="thin">
          <color auto="1"/>
        </right>
        <top style="thin">
          <color auto="1"/>
        </top>
        <bottom style="thin">
          <color auto="1"/>
        </bottom>
        <vertical/>
        <horizontal/>
      </border>
    </dxf>
    <dxf>
      <font>
        <b/>
        <i val="0"/>
        <color rgb="FF4C3800"/>
      </font>
      <fill>
        <patternFill patternType="solid">
          <bgColor theme="7" tint="0.39991454817346722"/>
        </patternFill>
      </fill>
      <border>
        <left style="dashDot">
          <color auto="1"/>
        </left>
        <right style="dashDot">
          <color auto="1"/>
        </right>
        <top style="dashDot">
          <color auto="1"/>
        </top>
        <bottom style="dashDot">
          <color auto="1"/>
        </bottom>
        <vertical/>
        <horizontal/>
      </border>
    </dxf>
    <dxf>
      <font>
        <b/>
        <i val="0"/>
      </font>
      <fill>
        <patternFill>
          <bgColor rgb="FFFD5555"/>
        </patternFill>
      </fill>
      <border>
        <left style="hair">
          <color auto="1"/>
        </left>
        <right style="hair">
          <color auto="1"/>
        </right>
        <top style="hair">
          <color auto="1"/>
        </top>
        <bottom style="hair">
          <color auto="1"/>
        </bottom>
        <vertical/>
        <horizontal/>
      </border>
    </dxf>
    <dxf>
      <font>
        <b/>
        <i val="0"/>
        <color theme="1"/>
      </font>
      <fill>
        <patternFill>
          <fgColor theme="9" tint="0.39994506668294322"/>
        </patternFill>
      </fill>
    </dxf>
    <dxf>
      <font>
        <color theme="0"/>
      </font>
      <fill>
        <patternFill>
          <bgColor theme="0"/>
        </patternFill>
      </fill>
    </dxf>
    <dxf>
      <font>
        <b/>
        <i val="0"/>
        <color theme="1"/>
      </font>
      <fill>
        <patternFill>
          <bgColor theme="9" tint="0.39994506668294322"/>
        </patternFill>
      </fill>
    </dxf>
    <dxf>
      <font>
        <b/>
        <i val="0"/>
        <color theme="1"/>
      </font>
      <fill>
        <patternFill>
          <bgColor rgb="FFCFC483"/>
        </patternFill>
      </fill>
    </dxf>
    <dxf>
      <font>
        <b/>
        <i val="0"/>
        <color theme="1"/>
      </font>
      <fill>
        <patternFill>
          <bgColor rgb="FFFF412D"/>
        </patternFill>
      </fill>
    </dxf>
    <dxf>
      <font>
        <b/>
        <i val="0"/>
        <color theme="1"/>
      </font>
      <fill>
        <patternFill>
          <bgColor rgb="FFFFFF00"/>
        </patternFill>
      </fill>
    </dxf>
    <dxf>
      <font>
        <b/>
        <i val="0"/>
        <color theme="1"/>
      </font>
      <fill>
        <patternFill>
          <bgColor rgb="FFFFC000"/>
        </patternFill>
      </fill>
    </dxf>
    <dxf>
      <font>
        <b/>
        <i val="0"/>
        <color theme="1"/>
      </font>
      <fill>
        <patternFill>
          <bgColor rgb="FFFFFF00"/>
        </patternFill>
      </fill>
    </dxf>
    <dxf>
      <font>
        <strike val="0"/>
        <outline val="0"/>
        <shadow val="0"/>
        <u val="none"/>
        <vertAlign val="baseline"/>
        <sz val="12"/>
        <color theme="1"/>
        <name val="Arial"/>
        <scheme val="none"/>
      </font>
    </dxf>
    <dxf>
      <font>
        <strike val="0"/>
        <outline val="0"/>
        <shadow val="0"/>
        <u val="none"/>
        <vertAlign val="baseline"/>
        <sz val="12"/>
        <color theme="1"/>
        <name val="Arial"/>
        <scheme val="none"/>
      </font>
    </dxf>
    <dxf>
      <font>
        <strike val="0"/>
        <outline val="0"/>
        <shadow val="0"/>
        <u val="none"/>
        <vertAlign val="baseline"/>
        <sz val="12"/>
        <color theme="1"/>
        <name val="Arial"/>
        <scheme val="none"/>
      </font>
    </dxf>
    <dxf>
      <font>
        <b val="0"/>
        <i val="0"/>
        <strike val="0"/>
        <condense val="0"/>
        <extend val="0"/>
        <outline val="0"/>
        <shadow val="0"/>
        <u val="none"/>
        <vertAlign val="baseline"/>
        <sz val="12"/>
        <color theme="1"/>
        <name val="Arial"/>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Arial"/>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Arial"/>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Arial"/>
        <scheme val="none"/>
      </font>
      <alignment horizontal="general" vertical="center" textRotation="0" wrapText="1" indent="0" justifyLastLine="0" shrinkToFit="0" readingOrder="0"/>
    </dxf>
    <dxf>
      <font>
        <strike val="0"/>
        <outline val="0"/>
        <shadow val="0"/>
        <vertAlign val="baseline"/>
        <sz val="12"/>
        <name val="Arial"/>
        <scheme val="none"/>
      </font>
    </dxf>
    <dxf>
      <font>
        <strike val="0"/>
        <outline val="0"/>
        <shadow val="0"/>
        <vertAlign val="baseline"/>
        <sz val="12"/>
        <name val="Arial"/>
        <scheme val="none"/>
      </font>
    </dxf>
    <dxf>
      <font>
        <strike val="0"/>
        <outline val="0"/>
        <shadow val="0"/>
        <vertAlign val="baseline"/>
        <sz val="12"/>
        <name val="Arial"/>
        <scheme val="none"/>
      </font>
    </dxf>
    <dxf>
      <font>
        <strike val="0"/>
        <outline val="0"/>
        <shadow val="0"/>
        <vertAlign val="baseline"/>
        <sz val="12"/>
        <name val="Arial"/>
        <scheme val="none"/>
      </font>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CFC483"/>
      <color rgb="FF71924C"/>
      <color rgb="FF3EA053"/>
      <color rgb="FF003057"/>
      <color rgb="FFFF412D"/>
      <color rgb="FFFD5555"/>
      <color rgb="FF4C3800"/>
      <color rgb="FF6366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Master_Issue_Tracker" displayName="Master_Issue_Tracker" ref="A1:L3" totalsRowShown="0" headerRowDxfId="35" dataDxfId="34">
  <autoFilter ref="A1:L3" xr:uid="{00000000-0009-0000-0100-000002000000}"/>
  <tableColumns count="12">
    <tableColumn id="1" xr3:uid="{00000000-0010-0000-0000-000001000000}" name="Issue Name" dataDxfId="33"/>
    <tableColumn id="9" xr3:uid="{00000000-0010-0000-0000-000009000000}" name="WCAG Success Criteria" dataDxfId="32"/>
    <tableColumn id="2" xr3:uid="{00000000-0010-0000-0000-000002000000}" name="Severity Level" dataDxfId="31"/>
    <tableColumn id="3" xr3:uid="{00000000-0010-0000-0000-000003000000}" name="Actual Result" dataDxfId="30"/>
    <tableColumn id="5" xr3:uid="{00000000-0010-0000-0000-000005000000}" name="Expected Result" dataDxfId="29"/>
    <tableColumn id="4" xr3:uid="{00000000-0010-0000-0000-000004000000}" name="Student Impact" dataDxfId="28"/>
    <tableColumn id="6" xr3:uid="{00000000-0010-0000-0000-000006000000}" name="Recommendation" dataDxfId="27"/>
    <tableColumn id="10" xr3:uid="{00000000-0010-0000-0000-00000A000000}" name="Issue Persistence" dataDxfId="26"/>
    <tableColumn id="8" xr3:uid="{00000000-0010-0000-0000-000008000000}" name="Detection Method" dataDxfId="25"/>
    <tableColumn id="7" xr3:uid="{00000000-0010-0000-0000-000007000000}" name="Location in Asset" dataDxfId="24"/>
    <tableColumn id="14" xr3:uid="{00000000-0010-0000-0000-00000E000000}" name="Example" dataDxfId="23" dataCellStyle="Hyperlink"/>
    <tableColumn id="13" xr3:uid="{00000000-0010-0000-0000-00000D000000}" name="Notes" dataDxf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B4" totalsRowShown="0" headerRowDxfId="21" dataDxfId="20">
  <autoFilter ref="A1:B4" xr:uid="{00000000-0009-0000-0100-000001000000}"/>
  <tableColumns count="2">
    <tableColumn id="2" xr3:uid="{00000000-0010-0000-0100-000002000000}" name="Issue Name" dataDxfId="19"/>
    <tableColumn id="3" xr3:uid="{00000000-0010-0000-0100-000003000000}" name="Example" dataDxfId="1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2:B19" totalsRowShown="0" headerRowDxfId="17" dataDxfId="16">
  <autoFilter ref="A2:B19" xr:uid="{00000000-0009-0000-0100-000003000000}"/>
  <tableColumns count="2">
    <tableColumn id="1" xr3:uid="{00000000-0010-0000-0200-000001000000}" name="Browser or Tool" dataDxfId="15"/>
    <tableColumn id="2" xr3:uid="{00000000-0010-0000-0200-000002000000}" name="Version" dataDxfId="1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1:A56" totalsRowShown="0" headerRowDxfId="13" dataDxfId="12">
  <autoFilter ref="A1:A56" xr:uid="{00000000-0009-0000-0100-000004000000}"/>
  <sortState xmlns:xlrd2="http://schemas.microsoft.com/office/spreadsheetml/2017/richdata2" ref="A2:A56">
    <sortCondition ref="A1:A56"/>
  </sortState>
  <tableColumns count="1">
    <tableColumn id="1" xr3:uid="{00000000-0010-0000-0300-000001000000}" name="WCAG Criterion" dataDxfId="1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3" Type="http://schemas.openxmlformats.org/officeDocument/2006/relationships/hyperlink" Target="https://www.w3.org/TR/WCAG22/" TargetMode="External"/><Relationship Id="rId18" Type="http://schemas.openxmlformats.org/officeDocument/2006/relationships/hyperlink" Target="https://www.w3.org/TR/WCAG22/" TargetMode="External"/><Relationship Id="rId26" Type="http://schemas.openxmlformats.org/officeDocument/2006/relationships/hyperlink" Target="https://www.w3.org/TR/WCAG22/" TargetMode="External"/><Relationship Id="rId39" Type="http://schemas.openxmlformats.org/officeDocument/2006/relationships/hyperlink" Target="https://www.w3.org/TR/WCAG22/" TargetMode="External"/><Relationship Id="rId21" Type="http://schemas.openxmlformats.org/officeDocument/2006/relationships/hyperlink" Target="https://www.w3.org/TR/WCAG22/" TargetMode="External"/><Relationship Id="rId34" Type="http://schemas.openxmlformats.org/officeDocument/2006/relationships/hyperlink" Target="https://www.w3.org/TR/WCAG22/" TargetMode="External"/><Relationship Id="rId42" Type="http://schemas.openxmlformats.org/officeDocument/2006/relationships/hyperlink" Target="https://www.w3.org/TR/WCAG22/" TargetMode="External"/><Relationship Id="rId47" Type="http://schemas.openxmlformats.org/officeDocument/2006/relationships/hyperlink" Target="https://www.w3.org/TR/WCAG22/" TargetMode="External"/><Relationship Id="rId50" Type="http://schemas.openxmlformats.org/officeDocument/2006/relationships/hyperlink" Target="https://www.w3.org/TR/WCAG22/" TargetMode="External"/><Relationship Id="rId55" Type="http://schemas.openxmlformats.org/officeDocument/2006/relationships/hyperlink" Target="https://www.w3.org/TR/WCAG22/" TargetMode="External"/><Relationship Id="rId7" Type="http://schemas.openxmlformats.org/officeDocument/2006/relationships/hyperlink" Target="https://www.w3.org/TR/WCAG22/" TargetMode="External"/><Relationship Id="rId2" Type="http://schemas.openxmlformats.org/officeDocument/2006/relationships/hyperlink" Target="https://www.w3.org/TR/WCAG22/" TargetMode="External"/><Relationship Id="rId16" Type="http://schemas.openxmlformats.org/officeDocument/2006/relationships/hyperlink" Target="https://www.w3.org/TR/WCAG22/" TargetMode="External"/><Relationship Id="rId29" Type="http://schemas.openxmlformats.org/officeDocument/2006/relationships/hyperlink" Target="https://www.w3.org/TR/WCAG22/" TargetMode="External"/><Relationship Id="rId11" Type="http://schemas.openxmlformats.org/officeDocument/2006/relationships/hyperlink" Target="https://www.w3.org/TR/WCAG22/" TargetMode="External"/><Relationship Id="rId24" Type="http://schemas.openxmlformats.org/officeDocument/2006/relationships/hyperlink" Target="https://www.w3.org/TR/WCAG22/" TargetMode="External"/><Relationship Id="rId32" Type="http://schemas.openxmlformats.org/officeDocument/2006/relationships/hyperlink" Target="https://www.w3.org/TR/WCAG22/" TargetMode="External"/><Relationship Id="rId37" Type="http://schemas.openxmlformats.org/officeDocument/2006/relationships/hyperlink" Target="https://www.w3.org/TR/WCAG22/" TargetMode="External"/><Relationship Id="rId40" Type="http://schemas.openxmlformats.org/officeDocument/2006/relationships/hyperlink" Target="https://www.w3.org/TR/WCAG22/" TargetMode="External"/><Relationship Id="rId45" Type="http://schemas.openxmlformats.org/officeDocument/2006/relationships/hyperlink" Target="https://www.w3.org/TR/WCAG22/" TargetMode="External"/><Relationship Id="rId53" Type="http://schemas.openxmlformats.org/officeDocument/2006/relationships/hyperlink" Target="https://www.w3.org/TR/WCAG22/" TargetMode="External"/><Relationship Id="rId5" Type="http://schemas.openxmlformats.org/officeDocument/2006/relationships/hyperlink" Target="https://www.w3.org/TR/WCAG22/" TargetMode="External"/><Relationship Id="rId10" Type="http://schemas.openxmlformats.org/officeDocument/2006/relationships/hyperlink" Target="https://www.w3.org/TR/WCAG22/" TargetMode="External"/><Relationship Id="rId19" Type="http://schemas.openxmlformats.org/officeDocument/2006/relationships/hyperlink" Target="https://www.w3.org/TR/WCAG22/" TargetMode="External"/><Relationship Id="rId31" Type="http://schemas.openxmlformats.org/officeDocument/2006/relationships/hyperlink" Target="https://www.w3.org/TR/WCAG22/" TargetMode="External"/><Relationship Id="rId44" Type="http://schemas.openxmlformats.org/officeDocument/2006/relationships/hyperlink" Target="https://www.w3.org/TR/WCAG22/" TargetMode="External"/><Relationship Id="rId52" Type="http://schemas.openxmlformats.org/officeDocument/2006/relationships/hyperlink" Target="https://www.w3.org/TR/WCAG22/" TargetMode="External"/><Relationship Id="rId4" Type="http://schemas.openxmlformats.org/officeDocument/2006/relationships/hyperlink" Target="https://www.w3.org/TR/WCAG22/" TargetMode="External"/><Relationship Id="rId9" Type="http://schemas.openxmlformats.org/officeDocument/2006/relationships/hyperlink" Target="https://www.w3.org/TR/WCAG22/" TargetMode="External"/><Relationship Id="rId14" Type="http://schemas.openxmlformats.org/officeDocument/2006/relationships/hyperlink" Target="https://www.w3.org/TR/WCAG22/" TargetMode="External"/><Relationship Id="rId22" Type="http://schemas.openxmlformats.org/officeDocument/2006/relationships/hyperlink" Target="https://www.w3.org/TR/WCAG22/" TargetMode="External"/><Relationship Id="rId27" Type="http://schemas.openxmlformats.org/officeDocument/2006/relationships/hyperlink" Target="https://www.w3.org/TR/WCAG22/" TargetMode="External"/><Relationship Id="rId30" Type="http://schemas.openxmlformats.org/officeDocument/2006/relationships/hyperlink" Target="https://www.w3.org/TR/WCAG22/" TargetMode="External"/><Relationship Id="rId35" Type="http://schemas.openxmlformats.org/officeDocument/2006/relationships/hyperlink" Target="https://www.w3.org/TR/WCAG22/" TargetMode="External"/><Relationship Id="rId43" Type="http://schemas.openxmlformats.org/officeDocument/2006/relationships/hyperlink" Target="https://www.w3.org/TR/WCAG22/" TargetMode="External"/><Relationship Id="rId48" Type="http://schemas.openxmlformats.org/officeDocument/2006/relationships/hyperlink" Target="https://www.w3.org/TR/WCAG22/" TargetMode="External"/><Relationship Id="rId56" Type="http://schemas.openxmlformats.org/officeDocument/2006/relationships/table" Target="../tables/table4.xml"/><Relationship Id="rId8" Type="http://schemas.openxmlformats.org/officeDocument/2006/relationships/hyperlink" Target="https://www.w3.org/TR/WCAG22/" TargetMode="External"/><Relationship Id="rId51" Type="http://schemas.openxmlformats.org/officeDocument/2006/relationships/hyperlink" Target="https://www.w3.org/TR/WCAG22/" TargetMode="External"/><Relationship Id="rId3" Type="http://schemas.openxmlformats.org/officeDocument/2006/relationships/hyperlink" Target="https://www.w3.org/TR/WCAG22/" TargetMode="External"/><Relationship Id="rId12" Type="http://schemas.openxmlformats.org/officeDocument/2006/relationships/hyperlink" Target="https://www.w3.org/TR/WCAG22/" TargetMode="External"/><Relationship Id="rId17" Type="http://schemas.openxmlformats.org/officeDocument/2006/relationships/hyperlink" Target="https://www.w3.org/TR/WCAG22/" TargetMode="External"/><Relationship Id="rId25" Type="http://schemas.openxmlformats.org/officeDocument/2006/relationships/hyperlink" Target="https://www.w3.org/TR/WCAG22/" TargetMode="External"/><Relationship Id="rId33" Type="http://schemas.openxmlformats.org/officeDocument/2006/relationships/hyperlink" Target="https://www.w3.org/TR/WCAG22/" TargetMode="External"/><Relationship Id="rId38" Type="http://schemas.openxmlformats.org/officeDocument/2006/relationships/hyperlink" Target="https://www.w3.org/TR/WCAG22/" TargetMode="External"/><Relationship Id="rId46" Type="http://schemas.openxmlformats.org/officeDocument/2006/relationships/hyperlink" Target="https://www.w3.org/TR/WCAG22/" TargetMode="External"/><Relationship Id="rId20" Type="http://schemas.openxmlformats.org/officeDocument/2006/relationships/hyperlink" Target="https://www.w3.org/TR/WCAG22/" TargetMode="External"/><Relationship Id="rId41" Type="http://schemas.openxmlformats.org/officeDocument/2006/relationships/hyperlink" Target="https://www.w3.org/TR/WCAG22/" TargetMode="External"/><Relationship Id="rId54" Type="http://schemas.openxmlformats.org/officeDocument/2006/relationships/hyperlink" Target="https://www.w3.org/TR/WCAG22/" TargetMode="External"/><Relationship Id="rId1" Type="http://schemas.openxmlformats.org/officeDocument/2006/relationships/hyperlink" Target="https://www.w3.org/TR/WCAG22/" TargetMode="External"/><Relationship Id="rId6" Type="http://schemas.openxmlformats.org/officeDocument/2006/relationships/hyperlink" Target="https://www.w3.org/TR/WCAG22/" TargetMode="External"/><Relationship Id="rId15" Type="http://schemas.openxmlformats.org/officeDocument/2006/relationships/hyperlink" Target="https://www.w3.org/TR/WCAG22/" TargetMode="External"/><Relationship Id="rId23" Type="http://schemas.openxmlformats.org/officeDocument/2006/relationships/hyperlink" Target="https://www.w3.org/TR/WCAG22/" TargetMode="External"/><Relationship Id="rId28" Type="http://schemas.openxmlformats.org/officeDocument/2006/relationships/hyperlink" Target="https://www.w3.org/TR/WCAG22/" TargetMode="External"/><Relationship Id="rId36" Type="http://schemas.openxmlformats.org/officeDocument/2006/relationships/hyperlink" Target="https://www.w3.org/TR/WCAG22/" TargetMode="External"/><Relationship Id="rId49" Type="http://schemas.openxmlformats.org/officeDocument/2006/relationships/hyperlink" Target="https://www.w3.org/TR/WCAG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5" tint="-0.499984740745262"/>
  </sheetPr>
  <dimension ref="A1:K31"/>
  <sheetViews>
    <sheetView workbookViewId="0">
      <selection activeCell="B11" sqref="B11"/>
    </sheetView>
  </sheetViews>
  <sheetFormatPr defaultColWidth="8.85546875" defaultRowHeight="15" x14ac:dyDescent="0.25"/>
  <cols>
    <col min="1" max="1" width="24.140625" style="1" customWidth="1"/>
    <col min="2" max="2" width="75.28515625" style="1" customWidth="1"/>
    <col min="3" max="8" width="10.7109375" style="1" customWidth="1"/>
    <col min="9" max="10" width="8.85546875" style="1"/>
    <col min="11" max="11" width="11" style="1" bestFit="1" customWidth="1"/>
    <col min="12" max="16384" width="8.85546875" style="1"/>
  </cols>
  <sheetData>
    <row r="1" spans="1:11" ht="26.25" x14ac:dyDescent="0.25">
      <c r="A1" s="90" t="s">
        <v>0</v>
      </c>
      <c r="B1" s="90"/>
      <c r="C1" s="3"/>
      <c r="D1" s="3"/>
      <c r="E1" s="3"/>
      <c r="F1" s="3"/>
      <c r="G1" s="3"/>
      <c r="H1" s="3"/>
      <c r="I1" s="8"/>
      <c r="J1" s="8"/>
      <c r="K1" s="8"/>
    </row>
    <row r="2" spans="1:11" ht="18" x14ac:dyDescent="0.25">
      <c r="A2" s="91" t="s">
        <v>112</v>
      </c>
      <c r="B2" s="91"/>
      <c r="C2" s="4"/>
      <c r="D2" s="4"/>
      <c r="E2" s="4"/>
      <c r="F2" s="4"/>
      <c r="G2" s="4"/>
      <c r="H2" s="4"/>
      <c r="I2" s="8"/>
      <c r="J2" s="8"/>
      <c r="K2" s="8"/>
    </row>
    <row r="3" spans="1:11" ht="15.75" x14ac:dyDescent="0.25">
      <c r="A3" s="10"/>
      <c r="B3" s="11"/>
      <c r="C3" s="8"/>
      <c r="D3" s="8"/>
      <c r="E3" s="8"/>
      <c r="F3" s="8"/>
      <c r="G3" s="8"/>
      <c r="H3" s="8"/>
      <c r="I3" s="8"/>
      <c r="J3" s="8"/>
      <c r="K3" s="8"/>
    </row>
    <row r="4" spans="1:11" ht="15.75" x14ac:dyDescent="0.25">
      <c r="A4" s="10"/>
      <c r="B4" s="11"/>
      <c r="C4" s="8"/>
      <c r="D4" s="8"/>
      <c r="E4" s="8"/>
      <c r="F4" s="8"/>
      <c r="G4" s="8"/>
      <c r="H4" s="8"/>
      <c r="I4" s="8"/>
      <c r="J4" s="8"/>
      <c r="K4" s="8"/>
    </row>
    <row r="5" spans="1:11" ht="15.75" x14ac:dyDescent="0.25">
      <c r="A5" s="12" t="s">
        <v>1</v>
      </c>
      <c r="B5" s="28" t="s">
        <v>119</v>
      </c>
      <c r="C5" s="20"/>
      <c r="D5" s="20"/>
      <c r="E5" s="20"/>
      <c r="F5" s="20"/>
      <c r="G5" s="20"/>
      <c r="H5" s="20"/>
      <c r="I5" s="8"/>
      <c r="J5" s="8"/>
      <c r="K5" s="21"/>
    </row>
    <row r="6" spans="1:11" ht="15.75" x14ac:dyDescent="0.25">
      <c r="A6" s="13" t="s">
        <v>2</v>
      </c>
      <c r="B6" s="52" t="s">
        <v>216</v>
      </c>
      <c r="C6" s="20"/>
      <c r="D6" s="20"/>
      <c r="E6" s="20"/>
      <c r="F6" s="20"/>
      <c r="G6" s="20"/>
      <c r="H6" s="20"/>
      <c r="I6" s="8"/>
      <c r="J6" s="8"/>
      <c r="K6" s="21"/>
    </row>
    <row r="7" spans="1:11" ht="15.75" x14ac:dyDescent="0.25">
      <c r="A7" s="13" t="s">
        <v>113</v>
      </c>
      <c r="B7" s="14" t="s">
        <v>118</v>
      </c>
      <c r="C7" s="20"/>
      <c r="D7" s="20"/>
      <c r="E7" s="20"/>
      <c r="F7" s="20"/>
      <c r="G7" s="20"/>
      <c r="H7" s="20"/>
      <c r="I7" s="8"/>
      <c r="J7" s="8"/>
      <c r="K7" s="21"/>
    </row>
    <row r="8" spans="1:11" ht="45" x14ac:dyDescent="0.2">
      <c r="A8" s="13" t="s">
        <v>3</v>
      </c>
      <c r="B8" s="46" t="s">
        <v>214</v>
      </c>
      <c r="D8" s="2"/>
      <c r="E8" s="2"/>
      <c r="F8" s="2"/>
      <c r="G8" s="2"/>
      <c r="H8" s="2"/>
      <c r="I8" s="8"/>
      <c r="J8" s="8"/>
      <c r="K8" s="21"/>
    </row>
    <row r="9" spans="1:11" ht="15.75" x14ac:dyDescent="0.25">
      <c r="A9" s="13" t="s">
        <v>4</v>
      </c>
      <c r="B9" s="30" t="s">
        <v>215</v>
      </c>
      <c r="C9" s="22"/>
      <c r="D9" s="20"/>
      <c r="E9" s="20"/>
      <c r="F9" s="20"/>
      <c r="G9" s="20"/>
      <c r="H9" s="20"/>
      <c r="I9" s="8"/>
      <c r="J9" s="8"/>
      <c r="K9" s="21"/>
    </row>
    <row r="10" spans="1:11" ht="15.75" x14ac:dyDescent="0.25">
      <c r="A10" s="15" t="s">
        <v>5</v>
      </c>
      <c r="B10" s="16" t="s">
        <v>154</v>
      </c>
      <c r="C10" s="22"/>
      <c r="D10" s="20"/>
      <c r="E10" s="20"/>
      <c r="F10" s="20"/>
      <c r="G10" s="20"/>
      <c r="H10" s="20"/>
      <c r="I10" s="8"/>
      <c r="J10" s="8"/>
      <c r="K10" s="21"/>
    </row>
    <row r="11" spans="1:11" ht="99" customHeight="1" x14ac:dyDescent="0.25">
      <c r="A11" s="15" t="s">
        <v>6</v>
      </c>
      <c r="B11" s="33" t="str">
        <f>_xlfn.TEXTJOIN(" , ",TRUE,_xlfn.UNIQUE('Issue List'!B2:B337))</f>
        <v>1.4.10 Reflow (AA) , 1.3.2 Meaningful Sequence (A) , 1.3.1 Info and Relationships (A) , 2.4.3 Focus Order (A) , 1.4.1 Use of Color (A) , 1.1.1 Non-text Content (A) , 4.1.2 Name, Role, Value (A) , 1.2.5 Audio Description (Prerecorded) (AA) , 2.4.6 Headings and Labels (AA) , 2.1.1 Keyboard (A)</v>
      </c>
      <c r="C11" s="22"/>
      <c r="D11" s="20"/>
      <c r="E11" s="20"/>
      <c r="F11" s="20"/>
      <c r="G11" s="20"/>
      <c r="H11" s="20"/>
      <c r="I11" s="8"/>
      <c r="J11" s="8"/>
      <c r="K11" s="21"/>
    </row>
    <row r="12" spans="1:11" ht="15.75" x14ac:dyDescent="0.25">
      <c r="A12" s="13" t="s">
        <v>7</v>
      </c>
      <c r="B12" s="33" t="s">
        <v>148</v>
      </c>
      <c r="C12" s="20"/>
      <c r="D12" s="20"/>
      <c r="E12" s="20"/>
      <c r="F12" s="20"/>
      <c r="G12" s="20"/>
      <c r="H12" s="20"/>
      <c r="I12" s="8"/>
      <c r="J12" s="8"/>
      <c r="K12" s="23"/>
    </row>
    <row r="13" spans="1:11" ht="15.75" x14ac:dyDescent="0.25">
      <c r="A13" s="13" t="s">
        <v>8</v>
      </c>
      <c r="B13" s="17">
        <f>COUNTIF('Issue List'!C:C,"Critical")</f>
        <v>4</v>
      </c>
      <c r="C13" s="20"/>
      <c r="D13" s="20"/>
      <c r="E13" s="20"/>
      <c r="F13" s="20"/>
      <c r="G13" s="20"/>
      <c r="H13" s="20"/>
      <c r="I13" s="8"/>
      <c r="J13" s="8"/>
      <c r="K13" s="8"/>
    </row>
    <row r="14" spans="1:11" ht="15.75" x14ac:dyDescent="0.25">
      <c r="A14" s="13" t="s">
        <v>9</v>
      </c>
      <c r="B14" s="17">
        <f>COUNTIF('Issue List'!C:C,"Significant")</f>
        <v>3</v>
      </c>
      <c r="C14" s="20"/>
      <c r="D14" s="20"/>
      <c r="E14" s="20"/>
      <c r="F14" s="20"/>
      <c r="G14" s="20"/>
      <c r="H14" s="20"/>
      <c r="I14" s="8"/>
      <c r="J14" s="8"/>
      <c r="K14" s="8"/>
    </row>
    <row r="15" spans="1:11" ht="15.75" x14ac:dyDescent="0.25">
      <c r="A15" s="18" t="s">
        <v>10</v>
      </c>
      <c r="B15" s="19">
        <f>COUNTIF('Issue List'!C:C,"Minor")</f>
        <v>6</v>
      </c>
      <c r="C15" s="8"/>
      <c r="D15" s="8"/>
      <c r="E15" s="8"/>
      <c r="F15" s="8"/>
      <c r="G15" s="8"/>
      <c r="H15" s="8"/>
      <c r="I15" s="8"/>
      <c r="J15" s="8"/>
      <c r="K15" s="8"/>
    </row>
    <row r="16" spans="1:11" ht="15.75" x14ac:dyDescent="0.25">
      <c r="A16" s="8"/>
      <c r="B16" s="5"/>
      <c r="C16" s="5"/>
      <c r="D16" s="5"/>
      <c r="E16" s="5"/>
      <c r="F16" s="5"/>
      <c r="G16" s="5"/>
      <c r="H16" s="5"/>
      <c r="I16" s="8"/>
      <c r="J16" s="8"/>
      <c r="K16" s="8"/>
    </row>
    <row r="17" spans="1:11" x14ac:dyDescent="0.25">
      <c r="A17" s="8"/>
      <c r="B17" s="8"/>
      <c r="C17" s="24"/>
      <c r="D17" s="24"/>
      <c r="E17" s="24"/>
      <c r="F17" s="24"/>
      <c r="G17" s="24"/>
      <c r="H17" s="24"/>
      <c r="I17" s="8"/>
      <c r="J17" s="8"/>
      <c r="K17" s="8"/>
    </row>
    <row r="18" spans="1:11" x14ac:dyDescent="0.25">
      <c r="B18" s="8"/>
      <c r="C18" s="24"/>
      <c r="D18" s="24"/>
      <c r="E18" s="24"/>
      <c r="F18" s="24"/>
      <c r="G18" s="24"/>
      <c r="H18" s="24"/>
    </row>
    <row r="19" spans="1:11" x14ac:dyDescent="0.25">
      <c r="B19" s="8"/>
      <c r="C19" s="24"/>
      <c r="D19" s="24"/>
      <c r="E19" s="24"/>
      <c r="F19" s="24"/>
      <c r="G19" s="24"/>
      <c r="H19" s="24"/>
    </row>
    <row r="20" spans="1:11" x14ac:dyDescent="0.25">
      <c r="B20" s="8"/>
      <c r="C20" s="24"/>
      <c r="D20" s="24"/>
      <c r="E20" s="24"/>
      <c r="F20" s="24"/>
      <c r="G20" s="24"/>
      <c r="H20" s="24"/>
    </row>
    <row r="21" spans="1:11" x14ac:dyDescent="0.25">
      <c r="B21" s="8"/>
      <c r="C21" s="24"/>
      <c r="D21" s="24"/>
      <c r="E21" s="24"/>
      <c r="F21" s="24"/>
      <c r="G21" s="24"/>
      <c r="H21" s="24"/>
    </row>
    <row r="22" spans="1:11" x14ac:dyDescent="0.25">
      <c r="B22" s="8"/>
      <c r="C22" s="24"/>
      <c r="D22" s="24"/>
      <c r="E22" s="24"/>
      <c r="F22" s="24"/>
      <c r="G22" s="24"/>
      <c r="H22" s="24"/>
    </row>
    <row r="23" spans="1:11" x14ac:dyDescent="0.25">
      <c r="B23" s="8"/>
      <c r="C23" s="24"/>
      <c r="D23" s="24"/>
      <c r="E23" s="24"/>
      <c r="F23" s="24"/>
      <c r="G23" s="24"/>
      <c r="H23" s="24"/>
    </row>
    <row r="24" spans="1:11" x14ac:dyDescent="0.25">
      <c r="B24" s="8"/>
      <c r="C24" s="24"/>
      <c r="D24" s="24"/>
      <c r="E24" s="24"/>
      <c r="F24" s="24"/>
      <c r="G24" s="24"/>
      <c r="H24" s="24"/>
    </row>
    <row r="25" spans="1:11" x14ac:dyDescent="0.25">
      <c r="B25" s="8"/>
      <c r="C25" s="24"/>
      <c r="D25" s="24"/>
      <c r="E25" s="24"/>
      <c r="F25" s="24"/>
      <c r="G25" s="24"/>
      <c r="H25" s="24"/>
    </row>
    <row r="26" spans="1:11" x14ac:dyDescent="0.25">
      <c r="B26" s="8"/>
      <c r="C26" s="24"/>
      <c r="D26" s="24"/>
      <c r="E26" s="24"/>
      <c r="F26" s="24"/>
      <c r="G26" s="24"/>
      <c r="H26" s="24"/>
    </row>
    <row r="27" spans="1:11" x14ac:dyDescent="0.25">
      <c r="B27" s="8"/>
      <c r="C27" s="24"/>
      <c r="D27" s="24"/>
      <c r="E27" s="24"/>
      <c r="F27" s="24"/>
      <c r="G27" s="24"/>
      <c r="H27" s="24"/>
    </row>
    <row r="28" spans="1:11" x14ac:dyDescent="0.25">
      <c r="B28" s="8"/>
      <c r="C28" s="24"/>
      <c r="D28" s="24"/>
      <c r="E28" s="24"/>
      <c r="F28" s="24"/>
      <c r="G28" s="24"/>
      <c r="H28" s="24"/>
    </row>
    <row r="29" spans="1:11" x14ac:dyDescent="0.25">
      <c r="B29" s="8"/>
      <c r="C29" s="24"/>
      <c r="D29" s="24"/>
      <c r="E29" s="24"/>
      <c r="F29" s="24"/>
      <c r="G29" s="24"/>
      <c r="H29" s="24"/>
    </row>
    <row r="30" spans="1:11" x14ac:dyDescent="0.25">
      <c r="B30" s="8"/>
      <c r="C30" s="24"/>
      <c r="D30" s="24"/>
      <c r="E30" s="24"/>
      <c r="F30" s="24"/>
      <c r="G30" s="24"/>
      <c r="H30" s="24"/>
    </row>
    <row r="31" spans="1:11" x14ac:dyDescent="0.25">
      <c r="B31" s="8"/>
      <c r="C31" s="24"/>
      <c r="D31" s="24"/>
      <c r="E31" s="24"/>
      <c r="F31" s="24"/>
      <c r="G31" s="24"/>
      <c r="H31" s="24"/>
    </row>
  </sheetData>
  <mergeCells count="2">
    <mergeCell ref="A1:B1"/>
    <mergeCell ref="A2:B2"/>
  </mergeCells>
  <conditionalFormatting sqref="B7">
    <cfRule type="containsText" dxfId="10" priority="1" operator="containsText" text="Select one">
      <formula>NOT(ISERROR(SEARCH("Select one",B7)))</formula>
    </cfRule>
  </conditionalFormatting>
  <conditionalFormatting sqref="B10">
    <cfRule type="containsText" dxfId="9" priority="2" operator="containsText" text="Moderate Remediation">
      <formula>NOT(ISERROR(SEARCH("Moderate Remediation",B10)))</formula>
    </cfRule>
    <cfRule type="containsText" dxfId="8" priority="3" operator="containsText" text="Select a Status">
      <formula>NOT(ISERROR(SEARCH("Select a Status",B10)))</formula>
    </cfRule>
    <cfRule type="containsText" dxfId="7" priority="4" operator="containsText" text="Extensive Remediation">
      <formula>NOT(ISERROR(SEARCH("Extensive Remediation",B10)))</formula>
    </cfRule>
    <cfRule type="containsText" dxfId="6" priority="6" operator="containsText" text="Minor Remediation">
      <formula>NOT(ISERROR(SEARCH("Minor Remediation",B10)))</formula>
    </cfRule>
    <cfRule type="containsText" dxfId="5" priority="7" operator="containsText" text="No Remediation">
      <formula>NOT(ISERROR(SEARCH("No Remediation",B10)))</formula>
    </cfRule>
    <cfRule type="containsText" dxfId="4" priority="8" operator="containsText" text="Blank">
      <formula>NOT(ISERROR(SEARCH("Blank",B10)))</formula>
    </cfRule>
    <cfRule type="containsText" dxfId="3" priority="9" operator="containsText" text="Approved">
      <formula>NOT(ISERROR(SEARCH("Approved",B10)))</formula>
    </cfRule>
    <cfRule type="cellIs" dxfId="2" priority="10" operator="equal">
      <formula>"Not Approved"</formula>
    </cfRule>
    <cfRule type="cellIs" dxfId="1" priority="11" operator="equal">
      <formula>"Conditionally Approved"</formula>
    </cfRule>
    <cfRule type="cellIs" dxfId="0" priority="12" operator="equal">
      <formula>"Approved"</formula>
    </cfRule>
  </conditionalFormatting>
  <dataValidations count="2">
    <dataValidation type="list" allowBlank="1" showInputMessage="1" showErrorMessage="1" promptTitle="Select a Status" sqref="B10" xr:uid="{00000000-0002-0000-0000-000000000000}">
      <formula1>"Select a Status, No Remediation, Minor Remediation, Moderate Remediation, Extensive Remediation"</formula1>
    </dataValidation>
    <dataValidation type="list" allowBlank="1" showInputMessage="1" showErrorMessage="1" sqref="B7" xr:uid="{00000000-0002-0000-0000-000001000000}">
      <formula1>"Select one, Excel, PDF, Webpage, Word Document, Video"</formula1>
    </dataValidation>
  </dataValidations>
  <pageMargins left="0.7" right="0.7" top="0.75" bottom="0.75" header="0.3" footer="0.3"/>
  <pageSetup orientation="portrait" horizontalDpi="100" verticalDpi="1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7" tint="0.59999389629810485"/>
  </sheetPr>
  <dimension ref="A1:AB14"/>
  <sheetViews>
    <sheetView tabSelected="1" topLeftCell="A11" zoomScale="85" zoomScaleNormal="85" workbookViewId="0">
      <selection activeCell="H14" sqref="H14"/>
    </sheetView>
  </sheetViews>
  <sheetFormatPr defaultColWidth="9.140625" defaultRowHeight="15.75" x14ac:dyDescent="0.25"/>
  <cols>
    <col min="1" max="1" width="32.85546875" style="57" customWidth="1"/>
    <col min="2" max="2" width="16.28515625" style="32" customWidth="1"/>
    <col min="3" max="3" width="9.140625" style="31" customWidth="1"/>
    <col min="4" max="4" width="25.7109375" style="31" customWidth="1"/>
    <col min="5" max="5" width="21.5703125" style="31" bestFit="1" customWidth="1"/>
    <col min="6" max="6" width="21.5703125" style="31" customWidth="1"/>
    <col min="7" max="7" width="30.7109375" style="31" customWidth="1"/>
    <col min="8" max="8" width="23.140625" style="32" bestFit="1" customWidth="1"/>
    <col min="9" max="9" width="27.85546875" style="32" customWidth="1"/>
    <col min="10" max="10" width="65.42578125" style="31" customWidth="1"/>
    <col min="11" max="11" width="34.7109375" style="31" customWidth="1"/>
    <col min="12" max="12" width="44" style="32" customWidth="1"/>
    <col min="13" max="13" width="22.140625" style="32" bestFit="1" customWidth="1"/>
    <col min="14" max="14" width="18.85546875" style="31" bestFit="1" customWidth="1"/>
    <col min="15" max="15" width="27.7109375" style="32" customWidth="1"/>
    <col min="16" max="16" width="18.85546875" style="31" bestFit="1" customWidth="1"/>
    <col min="17" max="17" width="16.85546875" style="31" bestFit="1" customWidth="1"/>
    <col min="18" max="18" width="11.7109375" style="31" customWidth="1"/>
    <col min="19" max="16384" width="9.140625" style="31"/>
  </cols>
  <sheetData>
    <row r="1" spans="1:28" s="36" customFormat="1" ht="47.25" x14ac:dyDescent="0.25">
      <c r="A1" s="53" t="s">
        <v>11</v>
      </c>
      <c r="B1" s="34" t="s">
        <v>12</v>
      </c>
      <c r="C1" s="34" t="s">
        <v>13</v>
      </c>
      <c r="D1" s="34" t="s">
        <v>14</v>
      </c>
      <c r="E1" s="34" t="s">
        <v>15</v>
      </c>
      <c r="F1" s="34" t="s">
        <v>16</v>
      </c>
      <c r="G1" s="34" t="s">
        <v>17</v>
      </c>
      <c r="H1" s="34" t="s">
        <v>18</v>
      </c>
      <c r="I1" s="34" t="s">
        <v>19</v>
      </c>
      <c r="J1" s="34" t="s">
        <v>20</v>
      </c>
      <c r="K1" s="34" t="s">
        <v>21</v>
      </c>
      <c r="L1" s="34" t="s">
        <v>22</v>
      </c>
      <c r="M1" s="35"/>
      <c r="N1" s="35"/>
      <c r="O1" s="35"/>
      <c r="P1" s="35"/>
      <c r="Q1" s="35"/>
      <c r="R1" s="35"/>
      <c r="S1" s="35"/>
    </row>
    <row r="2" spans="1:28" s="62" customFormat="1" ht="199.5" x14ac:dyDescent="0.25">
      <c r="A2" s="58" t="s">
        <v>217</v>
      </c>
      <c r="B2" s="59" t="s">
        <v>59</v>
      </c>
      <c r="C2" s="59" t="s">
        <v>116</v>
      </c>
      <c r="D2" s="60" t="s">
        <v>147</v>
      </c>
      <c r="E2" s="59" t="s">
        <v>120</v>
      </c>
      <c r="F2" s="59" t="s">
        <v>121</v>
      </c>
      <c r="G2" s="60" t="s">
        <v>122</v>
      </c>
      <c r="H2" s="59" t="s">
        <v>115</v>
      </c>
      <c r="I2" s="60" t="s">
        <v>156</v>
      </c>
      <c r="J2" s="60" t="s">
        <v>205</v>
      </c>
      <c r="K2" s="61"/>
      <c r="L2" s="59"/>
    </row>
    <row r="3" spans="1:28" s="40" customFormat="1" ht="135" x14ac:dyDescent="0.25">
      <c r="A3" s="54" t="s">
        <v>158</v>
      </c>
      <c r="B3" s="43" t="s">
        <v>54</v>
      </c>
      <c r="C3" s="43" t="s">
        <v>114</v>
      </c>
      <c r="D3" s="43" t="s">
        <v>159</v>
      </c>
      <c r="E3" s="43" t="s">
        <v>160</v>
      </c>
      <c r="F3" s="43" t="s">
        <v>161</v>
      </c>
      <c r="G3" s="43" t="s">
        <v>162</v>
      </c>
      <c r="H3" s="43" t="s">
        <v>137</v>
      </c>
      <c r="I3" s="43" t="s">
        <v>117</v>
      </c>
      <c r="J3" s="50" t="s">
        <v>163</v>
      </c>
      <c r="K3" s="44"/>
      <c r="L3" s="45"/>
    </row>
    <row r="4" spans="1:28" s="65" customFormat="1" ht="120" x14ac:dyDescent="0.25">
      <c r="A4" s="58" t="s">
        <v>145</v>
      </c>
      <c r="B4" s="59" t="s">
        <v>53</v>
      </c>
      <c r="C4" s="59" t="s">
        <v>114</v>
      </c>
      <c r="D4" s="59" t="s">
        <v>146</v>
      </c>
      <c r="E4" s="60" t="s">
        <v>123</v>
      </c>
      <c r="F4" s="59" t="s">
        <v>133</v>
      </c>
      <c r="G4" s="59" t="s">
        <v>134</v>
      </c>
      <c r="H4" s="59" t="s">
        <v>115</v>
      </c>
      <c r="I4" s="59" t="s">
        <v>135</v>
      </c>
      <c r="J4" s="63" t="s">
        <v>157</v>
      </c>
      <c r="K4" s="61"/>
      <c r="L4" s="59"/>
      <c r="M4" s="64"/>
      <c r="O4" s="64"/>
      <c r="P4" s="64"/>
      <c r="Q4" s="64"/>
      <c r="R4" s="64"/>
      <c r="S4" s="64"/>
      <c r="T4" s="64"/>
      <c r="U4" s="64"/>
      <c r="V4" s="64"/>
      <c r="W4" s="64"/>
      <c r="X4" s="64"/>
      <c r="Y4" s="64"/>
    </row>
    <row r="5" spans="1:28" s="36" customFormat="1" ht="75" x14ac:dyDescent="0.25">
      <c r="A5" s="55" t="s">
        <v>124</v>
      </c>
      <c r="B5" s="37" t="s">
        <v>76</v>
      </c>
      <c r="C5" s="38" t="s">
        <v>116</v>
      </c>
      <c r="D5" s="41" t="s">
        <v>125</v>
      </c>
      <c r="E5" s="41" t="s">
        <v>126</v>
      </c>
      <c r="F5" s="41" t="s">
        <v>136</v>
      </c>
      <c r="G5" s="37" t="s">
        <v>134</v>
      </c>
      <c r="H5" s="37" t="s">
        <v>137</v>
      </c>
      <c r="I5" s="37" t="s">
        <v>132</v>
      </c>
      <c r="J5" s="41" t="s">
        <v>163</v>
      </c>
      <c r="L5" s="39"/>
      <c r="M5" s="39"/>
      <c r="O5" s="39"/>
    </row>
    <row r="6" spans="1:28" s="64" customFormat="1" ht="150" x14ac:dyDescent="0.25">
      <c r="A6" s="58" t="s">
        <v>127</v>
      </c>
      <c r="B6" s="60" t="s">
        <v>58</v>
      </c>
      <c r="C6" s="60" t="s">
        <v>114</v>
      </c>
      <c r="D6" s="60" t="s">
        <v>164</v>
      </c>
      <c r="E6" s="60" t="s">
        <v>128</v>
      </c>
      <c r="F6" s="60" t="s">
        <v>129</v>
      </c>
      <c r="G6" s="60" t="s">
        <v>130</v>
      </c>
      <c r="H6" s="60" t="s">
        <v>131</v>
      </c>
      <c r="I6" s="60" t="s">
        <v>132</v>
      </c>
      <c r="J6" s="60" t="s">
        <v>165</v>
      </c>
      <c r="K6" s="61"/>
      <c r="L6" s="60"/>
      <c r="M6" s="65"/>
      <c r="O6" s="65"/>
    </row>
    <row r="7" spans="1:28" s="41" customFormat="1" ht="168.75" x14ac:dyDescent="0.25">
      <c r="A7" s="55" t="s">
        <v>166</v>
      </c>
      <c r="B7" s="38" t="s">
        <v>53</v>
      </c>
      <c r="C7" s="38" t="s">
        <v>114</v>
      </c>
      <c r="D7" s="41" t="s">
        <v>138</v>
      </c>
      <c r="E7" s="41" t="s">
        <v>167</v>
      </c>
      <c r="F7" s="41" t="s">
        <v>168</v>
      </c>
      <c r="G7" s="41" t="s">
        <v>169</v>
      </c>
      <c r="H7" s="39" t="s">
        <v>115</v>
      </c>
      <c r="I7" s="39" t="s">
        <v>191</v>
      </c>
      <c r="J7" s="41" t="s">
        <v>213</v>
      </c>
      <c r="L7" s="39"/>
      <c r="M7" s="39"/>
      <c r="O7" s="39"/>
    </row>
    <row r="8" spans="1:28" s="64" customFormat="1" ht="90" x14ac:dyDescent="0.25">
      <c r="A8" s="66" t="s">
        <v>139</v>
      </c>
      <c r="B8" s="60" t="s">
        <v>47</v>
      </c>
      <c r="C8" s="64" t="s">
        <v>114</v>
      </c>
      <c r="D8" s="64" t="s">
        <v>140</v>
      </c>
      <c r="E8" s="64" t="s">
        <v>141</v>
      </c>
      <c r="F8" s="64" t="s">
        <v>142</v>
      </c>
      <c r="G8" s="64" t="s">
        <v>143</v>
      </c>
      <c r="H8" s="65" t="s">
        <v>115</v>
      </c>
      <c r="I8" s="65" t="s">
        <v>135</v>
      </c>
      <c r="J8" s="64" t="s">
        <v>144</v>
      </c>
      <c r="L8" s="65"/>
      <c r="M8" s="65"/>
      <c r="O8" s="65"/>
    </row>
    <row r="9" spans="1:28" s="49" customFormat="1" ht="78.75" x14ac:dyDescent="0.25">
      <c r="A9" s="56" t="s">
        <v>170</v>
      </c>
      <c r="B9" s="47" t="s">
        <v>100</v>
      </c>
      <c r="C9" s="47" t="s">
        <v>171</v>
      </c>
      <c r="D9" s="47" t="s">
        <v>172</v>
      </c>
      <c r="E9" s="47" t="s">
        <v>173</v>
      </c>
      <c r="F9" s="47" t="s">
        <v>174</v>
      </c>
      <c r="G9" s="47" t="s">
        <v>175</v>
      </c>
      <c r="H9" s="47" t="s">
        <v>115</v>
      </c>
      <c r="I9" s="47" t="s">
        <v>176</v>
      </c>
      <c r="J9" s="47" t="s">
        <v>177</v>
      </c>
      <c r="K9" s="48"/>
      <c r="L9" s="48"/>
      <c r="M9" s="48"/>
      <c r="N9" s="48"/>
      <c r="O9" s="48"/>
      <c r="P9" s="48"/>
      <c r="Q9" s="48"/>
      <c r="R9" s="48"/>
      <c r="S9" s="48"/>
      <c r="T9" s="48"/>
      <c r="U9" s="48"/>
      <c r="V9" s="48"/>
      <c r="W9" s="48"/>
      <c r="X9" s="48"/>
      <c r="Y9" s="48"/>
      <c r="Z9" s="48"/>
      <c r="AA9" s="48"/>
      <c r="AB9" s="48"/>
    </row>
    <row r="10" spans="1:28" s="71" customFormat="1" ht="94.5" x14ac:dyDescent="0.25">
      <c r="A10" s="67" t="s">
        <v>178</v>
      </c>
      <c r="B10" s="68" t="s">
        <v>179</v>
      </c>
      <c r="C10" s="69" t="s">
        <v>171</v>
      </c>
      <c r="D10" s="69" t="s">
        <v>180</v>
      </c>
      <c r="E10" s="69" t="s">
        <v>181</v>
      </c>
      <c r="F10" s="69" t="s">
        <v>182</v>
      </c>
      <c r="G10" s="69" t="s">
        <v>183</v>
      </c>
      <c r="H10" s="69" t="s">
        <v>115</v>
      </c>
      <c r="I10" s="69" t="s">
        <v>184</v>
      </c>
      <c r="J10" s="69" t="s">
        <v>185</v>
      </c>
      <c r="K10" s="70"/>
      <c r="L10" s="70"/>
      <c r="M10" s="70"/>
      <c r="N10" s="70"/>
      <c r="O10" s="70"/>
      <c r="P10" s="70"/>
      <c r="Q10" s="70"/>
      <c r="R10" s="70"/>
      <c r="S10" s="70"/>
      <c r="T10" s="70"/>
      <c r="U10" s="70"/>
      <c r="V10" s="70"/>
      <c r="W10" s="70"/>
      <c r="X10" s="70"/>
      <c r="Y10" s="70"/>
      <c r="Z10" s="70"/>
      <c r="AA10" s="70"/>
      <c r="AB10" s="70"/>
    </row>
    <row r="11" spans="1:28" s="84" customFormat="1" ht="105.75" x14ac:dyDescent="0.25">
      <c r="A11" s="82" t="s">
        <v>186</v>
      </c>
      <c r="B11" s="83" t="s">
        <v>52</v>
      </c>
      <c r="C11" s="84" t="s">
        <v>116</v>
      </c>
      <c r="D11" s="84" t="s">
        <v>187</v>
      </c>
      <c r="E11" s="84" t="s">
        <v>188</v>
      </c>
      <c r="F11" s="84" t="s">
        <v>189</v>
      </c>
      <c r="G11" s="84" t="s">
        <v>190</v>
      </c>
      <c r="H11" s="85" t="s">
        <v>131</v>
      </c>
      <c r="I11" s="85" t="s">
        <v>191</v>
      </c>
      <c r="J11" s="85" t="s">
        <v>192</v>
      </c>
      <c r="L11" s="85"/>
      <c r="M11" s="85"/>
      <c r="O11" s="85"/>
    </row>
    <row r="12" spans="1:28" s="64" customFormat="1" ht="135" x14ac:dyDescent="0.25">
      <c r="A12" s="72" t="s">
        <v>193</v>
      </c>
      <c r="B12" s="73" t="s">
        <v>79</v>
      </c>
      <c r="C12" s="74" t="s">
        <v>114</v>
      </c>
      <c r="D12" s="74" t="s">
        <v>194</v>
      </c>
      <c r="E12" s="74" t="s">
        <v>195</v>
      </c>
      <c r="F12" s="74" t="s">
        <v>196</v>
      </c>
      <c r="G12" s="74" t="s">
        <v>197</v>
      </c>
      <c r="H12" s="75" t="s">
        <v>115</v>
      </c>
      <c r="I12" s="75" t="s">
        <v>117</v>
      </c>
      <c r="J12" s="74" t="s">
        <v>198</v>
      </c>
      <c r="K12" s="74"/>
      <c r="L12" s="75"/>
      <c r="M12" s="75"/>
      <c r="N12" s="74"/>
      <c r="O12" s="75"/>
      <c r="P12" s="74"/>
      <c r="Q12" s="74"/>
      <c r="R12" s="74"/>
      <c r="S12" s="74"/>
      <c r="T12" s="74"/>
      <c r="U12" s="74"/>
      <c r="V12" s="74"/>
      <c r="W12" s="74"/>
      <c r="X12" s="74"/>
      <c r="Y12" s="74"/>
      <c r="Z12" s="74"/>
      <c r="AA12" s="74"/>
      <c r="AB12" s="74"/>
    </row>
    <row r="13" spans="1:28" s="89" customFormat="1" ht="120" x14ac:dyDescent="0.25">
      <c r="A13" s="86" t="s">
        <v>199</v>
      </c>
      <c r="B13" s="51" t="s">
        <v>67</v>
      </c>
      <c r="C13" s="87" t="s">
        <v>116</v>
      </c>
      <c r="D13" s="87" t="s">
        <v>200</v>
      </c>
      <c r="E13" s="87" t="s">
        <v>201</v>
      </c>
      <c r="F13" s="87" t="s">
        <v>202</v>
      </c>
      <c r="G13" s="87" t="s">
        <v>203</v>
      </c>
      <c r="H13" s="88" t="s">
        <v>115</v>
      </c>
      <c r="I13" s="88" t="s">
        <v>204</v>
      </c>
      <c r="J13" s="87" t="s">
        <v>212</v>
      </c>
      <c r="K13" s="87"/>
      <c r="L13" s="88"/>
      <c r="M13" s="88"/>
      <c r="N13" s="87"/>
      <c r="O13" s="88"/>
      <c r="P13" s="87"/>
      <c r="Q13" s="87"/>
      <c r="R13" s="87"/>
      <c r="S13" s="87"/>
      <c r="T13" s="87"/>
      <c r="U13" s="87"/>
      <c r="V13" s="87"/>
      <c r="W13" s="87"/>
      <c r="X13" s="87"/>
      <c r="Y13" s="87"/>
      <c r="Z13" s="87"/>
      <c r="AA13" s="87"/>
      <c r="AB13" s="87"/>
    </row>
    <row r="14" spans="1:28" s="81" customFormat="1" ht="165.75" x14ac:dyDescent="0.25">
      <c r="A14" s="76" t="s">
        <v>206</v>
      </c>
      <c r="B14" s="73" t="s">
        <v>76</v>
      </c>
      <c r="C14" s="60" t="s">
        <v>171</v>
      </c>
      <c r="D14" s="77" t="s">
        <v>210</v>
      </c>
      <c r="E14" s="77" t="s">
        <v>207</v>
      </c>
      <c r="F14" s="77" t="s">
        <v>208</v>
      </c>
      <c r="G14" s="77" t="s">
        <v>209</v>
      </c>
      <c r="H14" s="78" t="s">
        <v>115</v>
      </c>
      <c r="I14" s="79" t="s">
        <v>132</v>
      </c>
      <c r="J14" s="77" t="s">
        <v>211</v>
      </c>
      <c r="K14" s="77"/>
      <c r="L14" s="80"/>
      <c r="M14" s="80"/>
      <c r="N14" s="77"/>
      <c r="O14" s="80"/>
      <c r="P14" s="77"/>
      <c r="Q14" s="77"/>
      <c r="R14" s="77"/>
      <c r="S14" s="77"/>
      <c r="T14" s="77"/>
      <c r="U14" s="77"/>
      <c r="V14" s="77"/>
      <c r="W14" s="77"/>
      <c r="X14" s="77"/>
      <c r="Y14" s="77"/>
      <c r="Z14" s="77"/>
      <c r="AA14" s="77"/>
      <c r="AB14" s="77"/>
    </row>
  </sheetData>
  <dataValidations count="6">
    <dataValidation type="list" allowBlank="1" showInputMessage="1" showErrorMessage="1" prompt="Severity Level - Critical - Stops all progress_x000a_Significant - Interferes with progress_x000a_Minor - Annoyance" sqref="C4" xr:uid="{00000000-0002-0000-0100-000000000000}">
      <formula1>"Minor,Significant,Critical"</formula1>
    </dataValidation>
    <dataValidation type="list" allowBlank="1" showInputMessage="1" showErrorMessage="1" prompt="Issue Persistence - Global - The entire product_x000a_Partial - Several instances_x000a_Single - A single instance" sqref="H4:H5" xr:uid="{00000000-0002-0000-0100-000001000000}">
      <formula1>"Global,Partial,Single"</formula1>
    </dataValidation>
    <dataValidation type="list" allowBlank="1" showErrorMessage="1" sqref="C9:C10" xr:uid="{741FCDA0-89C4-45E2-9391-718BA66169E9}">
      <formula1>"Critical,Significant,Minor"</formula1>
    </dataValidation>
    <dataValidation type="list" allowBlank="1" showErrorMessage="1" sqref="H9:H10" xr:uid="{AA0AE120-9351-4149-87A6-386CBB0639AC}">
      <formula1>"Single,Partical,Global"</formula1>
    </dataValidation>
    <dataValidation type="list" allowBlank="1" showInputMessage="1" showErrorMessage="1" promptTitle="Severity Level" prompt="Critical - Stops all progress_x000a_Significant - Interferes with progress_x000a_Minor - Annoyance" sqref="C2:C7 C14" xr:uid="{00000000-0002-0000-0100-000002000000}">
      <formula1>"Minor, Significant, Critical"</formula1>
    </dataValidation>
    <dataValidation type="list" allowBlank="1" showInputMessage="1" showErrorMessage="1" promptTitle="Issue Persistence" prompt="Global - The entire product_x000a_Partial - Several instances_x000a_Single - A single instance" sqref="H2:H6" xr:uid="{00000000-0002-0000-0100-000003000000}">
      <formula1>"Global, Partial, Single"</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promptTitle="WCAG Success Criteria" prompt="Select all applicable criteria for each issue." xr:uid="{4F197AFF-DC73-404A-8A68-D46C4702DBF2}">
          <x14:formula1>
            <xm:f>'WCAG 2.2 A-AA'!$A$2:$A$56</xm:f>
          </x14:formula1>
          <xm:sqref>B2:B5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4" tint="0.59999389629810485"/>
  </sheetPr>
  <dimension ref="A1:B3"/>
  <sheetViews>
    <sheetView workbookViewId="0">
      <selection activeCell="B3" sqref="B3"/>
    </sheetView>
  </sheetViews>
  <sheetFormatPr defaultColWidth="9.140625" defaultRowHeight="15" x14ac:dyDescent="0.2"/>
  <cols>
    <col min="1" max="1" width="26.7109375" style="7" customWidth="1"/>
    <col min="2" max="2" width="112.7109375" style="7" customWidth="1"/>
    <col min="3" max="16384" width="9.140625" style="7"/>
  </cols>
  <sheetData>
    <row r="1" spans="1:2" x14ac:dyDescent="0.2">
      <c r="A1" s="9" t="s">
        <v>11</v>
      </c>
      <c r="B1" s="9" t="s">
        <v>21</v>
      </c>
    </row>
    <row r="2" spans="1:2" ht="30" x14ac:dyDescent="0.2">
      <c r="A2" s="29" t="s">
        <v>152</v>
      </c>
      <c r="B2" s="42" t="s">
        <v>151</v>
      </c>
    </row>
    <row r="3" spans="1:2" ht="30" x14ac:dyDescent="0.2">
      <c r="A3" s="29" t="s">
        <v>124</v>
      </c>
      <c r="B3" s="42" t="s">
        <v>153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4" tint="-0.499984740745262"/>
  </sheetPr>
  <dimension ref="A1:B19"/>
  <sheetViews>
    <sheetView workbookViewId="0">
      <selection activeCell="B4" sqref="B4"/>
    </sheetView>
  </sheetViews>
  <sheetFormatPr defaultRowHeight="15" x14ac:dyDescent="0.25"/>
  <cols>
    <col min="1" max="1" width="43.42578125" customWidth="1"/>
    <col min="2" max="2" width="26.28515625" customWidth="1"/>
  </cols>
  <sheetData>
    <row r="1" spans="1:2" ht="18" x14ac:dyDescent="0.25">
      <c r="A1" s="92" t="s">
        <v>23</v>
      </c>
      <c r="B1" s="92"/>
    </row>
    <row r="2" spans="1:2" x14ac:dyDescent="0.25">
      <c r="A2" s="25" t="s">
        <v>24</v>
      </c>
      <c r="B2" s="24" t="s">
        <v>25</v>
      </c>
    </row>
    <row r="3" spans="1:2" x14ac:dyDescent="0.25">
      <c r="A3" s="26" t="s">
        <v>26</v>
      </c>
      <c r="B3" s="27" t="s">
        <v>155</v>
      </c>
    </row>
    <row r="4" spans="1:2" x14ac:dyDescent="0.25">
      <c r="A4" s="26" t="s">
        <v>27</v>
      </c>
      <c r="B4" s="27"/>
    </row>
    <row r="5" spans="1:2" x14ac:dyDescent="0.25">
      <c r="A5" s="26" t="s">
        <v>28</v>
      </c>
      <c r="B5" s="27" t="s">
        <v>149</v>
      </c>
    </row>
    <row r="6" spans="1:2" x14ac:dyDescent="0.25">
      <c r="A6" s="26" t="s">
        <v>29</v>
      </c>
      <c r="B6" s="27" t="s">
        <v>104</v>
      </c>
    </row>
    <row r="7" spans="1:2" x14ac:dyDescent="0.25">
      <c r="A7" s="26" t="s">
        <v>30</v>
      </c>
      <c r="B7" s="27" t="s">
        <v>105</v>
      </c>
    </row>
    <row r="8" spans="1:2" x14ac:dyDescent="0.25">
      <c r="A8" s="26" t="s">
        <v>31</v>
      </c>
      <c r="B8" s="27" t="s">
        <v>150</v>
      </c>
    </row>
    <row r="9" spans="1:2" ht="15" customHeight="1" x14ac:dyDescent="0.25">
      <c r="A9" s="26" t="s">
        <v>32</v>
      </c>
      <c r="B9" s="27" t="s">
        <v>107</v>
      </c>
    </row>
    <row r="10" spans="1:2" x14ac:dyDescent="0.25">
      <c r="A10" s="26" t="s">
        <v>33</v>
      </c>
      <c r="B10" s="27" t="s">
        <v>34</v>
      </c>
    </row>
    <row r="11" spans="1:2" x14ac:dyDescent="0.25">
      <c r="A11" s="26" t="s">
        <v>35</v>
      </c>
      <c r="B11" s="27" t="s">
        <v>36</v>
      </c>
    </row>
    <row r="12" spans="1:2" x14ac:dyDescent="0.25">
      <c r="A12" s="26" t="s">
        <v>37</v>
      </c>
      <c r="B12" s="27" t="s">
        <v>38</v>
      </c>
    </row>
    <row r="13" spans="1:2" x14ac:dyDescent="0.25">
      <c r="A13" s="26" t="s">
        <v>39</v>
      </c>
      <c r="B13" s="27" t="s">
        <v>106</v>
      </c>
    </row>
    <row r="14" spans="1:2" x14ac:dyDescent="0.25">
      <c r="A14" s="26" t="s">
        <v>40</v>
      </c>
      <c r="B14" s="27" t="s">
        <v>41</v>
      </c>
    </row>
    <row r="15" spans="1:2" x14ac:dyDescent="0.25">
      <c r="A15" s="26" t="s">
        <v>42</v>
      </c>
      <c r="B15" s="27" t="s">
        <v>108</v>
      </c>
    </row>
    <row r="16" spans="1:2" x14ac:dyDescent="0.25">
      <c r="A16" s="26" t="s">
        <v>43</v>
      </c>
      <c r="B16" s="27" t="s">
        <v>109</v>
      </c>
    </row>
    <row r="17" spans="1:2" x14ac:dyDescent="0.25">
      <c r="A17" s="26" t="s">
        <v>44</v>
      </c>
      <c r="B17" s="27" t="s">
        <v>110</v>
      </c>
    </row>
    <row r="18" spans="1:2" x14ac:dyDescent="0.25">
      <c r="A18" s="26" t="s">
        <v>45</v>
      </c>
      <c r="B18" s="27" t="s">
        <v>111</v>
      </c>
    </row>
    <row r="19" spans="1:2" x14ac:dyDescent="0.25">
      <c r="A19" s="27" t="s">
        <v>102</v>
      </c>
      <c r="B19" s="27" t="s">
        <v>103</v>
      </c>
    </row>
  </sheetData>
  <mergeCells count="1">
    <mergeCell ref="A1:B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theme="4" tint="-0.499984740745262"/>
  </sheetPr>
  <dimension ref="A1:A56"/>
  <sheetViews>
    <sheetView workbookViewId="0">
      <selection activeCell="B53" sqref="B53"/>
    </sheetView>
  </sheetViews>
  <sheetFormatPr defaultRowHeight="15" x14ac:dyDescent="0.25"/>
  <cols>
    <col min="1" max="1" width="63.140625" bestFit="1" customWidth="1"/>
  </cols>
  <sheetData>
    <row r="1" spans="1:1" ht="15.75" x14ac:dyDescent="0.25">
      <c r="A1" s="9" t="s">
        <v>46</v>
      </c>
    </row>
    <row r="2" spans="1:1" ht="15.75" x14ac:dyDescent="0.25">
      <c r="A2" s="6" t="s">
        <v>47</v>
      </c>
    </row>
    <row r="3" spans="1:1" ht="15.75" x14ac:dyDescent="0.25">
      <c r="A3" s="6" t="s">
        <v>48</v>
      </c>
    </row>
    <row r="4" spans="1:1" ht="15.75" x14ac:dyDescent="0.25">
      <c r="A4" s="6" t="s">
        <v>49</v>
      </c>
    </row>
    <row r="5" spans="1:1" ht="15.75" x14ac:dyDescent="0.25">
      <c r="A5" s="6" t="s">
        <v>50</v>
      </c>
    </row>
    <row r="6" spans="1:1" ht="15.75" x14ac:dyDescent="0.25">
      <c r="A6" s="6" t="s">
        <v>51</v>
      </c>
    </row>
    <row r="7" spans="1:1" ht="15.75" x14ac:dyDescent="0.25">
      <c r="A7" s="6" t="s">
        <v>52</v>
      </c>
    </row>
    <row r="8" spans="1:1" ht="15.75" x14ac:dyDescent="0.25">
      <c r="A8" s="6" t="s">
        <v>53</v>
      </c>
    </row>
    <row r="9" spans="1:1" ht="15.75" x14ac:dyDescent="0.25">
      <c r="A9" s="6" t="s">
        <v>54</v>
      </c>
    </row>
    <row r="10" spans="1:1" ht="15.75" x14ac:dyDescent="0.25">
      <c r="A10" s="6" t="s">
        <v>55</v>
      </c>
    </row>
    <row r="11" spans="1:1" ht="15.75" x14ac:dyDescent="0.25">
      <c r="A11" s="6" t="s">
        <v>56</v>
      </c>
    </row>
    <row r="12" spans="1:1" ht="15.75" x14ac:dyDescent="0.25">
      <c r="A12" s="6" t="s">
        <v>57</v>
      </c>
    </row>
    <row r="13" spans="1:1" ht="15.75" x14ac:dyDescent="0.25">
      <c r="A13" s="6" t="s">
        <v>58</v>
      </c>
    </row>
    <row r="14" spans="1:1" ht="15.75" x14ac:dyDescent="0.25">
      <c r="A14" s="6" t="s">
        <v>59</v>
      </c>
    </row>
    <row r="15" spans="1:1" ht="15.75" x14ac:dyDescent="0.25">
      <c r="A15" s="6" t="s">
        <v>60</v>
      </c>
    </row>
    <row r="16" spans="1:1" ht="15.75" x14ac:dyDescent="0.25">
      <c r="A16" s="6" t="s">
        <v>61</v>
      </c>
    </row>
    <row r="17" spans="1:1" ht="15.75" x14ac:dyDescent="0.25">
      <c r="A17" s="6" t="s">
        <v>62</v>
      </c>
    </row>
    <row r="18" spans="1:1" ht="15.75" x14ac:dyDescent="0.25">
      <c r="A18" s="6" t="s">
        <v>63</v>
      </c>
    </row>
    <row r="19" spans="1:1" ht="15.75" x14ac:dyDescent="0.25">
      <c r="A19" s="6" t="s">
        <v>64</v>
      </c>
    </row>
    <row r="20" spans="1:1" ht="15.75" x14ac:dyDescent="0.25">
      <c r="A20" s="6" t="s">
        <v>65</v>
      </c>
    </row>
    <row r="21" spans="1:1" ht="15.75" x14ac:dyDescent="0.25">
      <c r="A21" s="6" t="s">
        <v>66</v>
      </c>
    </row>
    <row r="22" spans="1:1" ht="15.75" x14ac:dyDescent="0.25">
      <c r="A22" s="6" t="s">
        <v>67</v>
      </c>
    </row>
    <row r="23" spans="1:1" ht="15.75" x14ac:dyDescent="0.25">
      <c r="A23" s="6" t="s">
        <v>68</v>
      </c>
    </row>
    <row r="24" spans="1:1" ht="15.75" x14ac:dyDescent="0.25">
      <c r="A24" s="6" t="s">
        <v>69</v>
      </c>
    </row>
    <row r="25" spans="1:1" ht="15.75" x14ac:dyDescent="0.25">
      <c r="A25" s="6" t="s">
        <v>70</v>
      </c>
    </row>
    <row r="26" spans="1:1" ht="15.75" x14ac:dyDescent="0.25">
      <c r="A26" s="6" t="s">
        <v>71</v>
      </c>
    </row>
    <row r="27" spans="1:1" ht="15.75" x14ac:dyDescent="0.25">
      <c r="A27" s="6" t="s">
        <v>72</v>
      </c>
    </row>
    <row r="28" spans="1:1" ht="15.75" x14ac:dyDescent="0.25">
      <c r="A28" s="6" t="s">
        <v>73</v>
      </c>
    </row>
    <row r="29" spans="1:1" ht="15.75" x14ac:dyDescent="0.25">
      <c r="A29" s="6" t="s">
        <v>74</v>
      </c>
    </row>
    <row r="30" spans="1:1" ht="15.75" x14ac:dyDescent="0.25">
      <c r="A30" s="6" t="s">
        <v>75</v>
      </c>
    </row>
    <row r="31" spans="1:1" ht="15.75" x14ac:dyDescent="0.25">
      <c r="A31" s="6" t="s">
        <v>76</v>
      </c>
    </row>
    <row r="32" spans="1:1" ht="15.75" x14ac:dyDescent="0.25">
      <c r="A32" s="6" t="s">
        <v>77</v>
      </c>
    </row>
    <row r="33" spans="1:1" ht="15.75" x14ac:dyDescent="0.25">
      <c r="A33" s="6" t="s">
        <v>78</v>
      </c>
    </row>
    <row r="34" spans="1:1" ht="15.75" x14ac:dyDescent="0.25">
      <c r="A34" s="6" t="s">
        <v>79</v>
      </c>
    </row>
    <row r="35" spans="1:1" ht="15.75" x14ac:dyDescent="0.25">
      <c r="A35" s="6" t="s">
        <v>80</v>
      </c>
    </row>
    <row r="36" spans="1:1" ht="15.75" x14ac:dyDescent="0.25">
      <c r="A36" s="6" t="s">
        <v>81</v>
      </c>
    </row>
    <row r="37" spans="1:1" ht="15.75" x14ac:dyDescent="0.25">
      <c r="A37" s="6" t="s">
        <v>82</v>
      </c>
    </row>
    <row r="38" spans="1:1" ht="15.75" x14ac:dyDescent="0.25">
      <c r="A38" s="6" t="s">
        <v>83</v>
      </c>
    </row>
    <row r="39" spans="1:1" ht="15.75" x14ac:dyDescent="0.25">
      <c r="A39" s="6" t="s">
        <v>84</v>
      </c>
    </row>
    <row r="40" spans="1:1" ht="15.75" x14ac:dyDescent="0.25">
      <c r="A40" s="6" t="s">
        <v>85</v>
      </c>
    </row>
    <row r="41" spans="1:1" ht="15.75" x14ac:dyDescent="0.25">
      <c r="A41" s="6" t="s">
        <v>86</v>
      </c>
    </row>
    <row r="42" spans="1:1" ht="15.75" x14ac:dyDescent="0.25">
      <c r="A42" s="6" t="s">
        <v>87</v>
      </c>
    </row>
    <row r="43" spans="1:1" ht="15.75" x14ac:dyDescent="0.25">
      <c r="A43" s="6" t="s">
        <v>88</v>
      </c>
    </row>
    <row r="44" spans="1:1" ht="15.75" x14ac:dyDescent="0.25">
      <c r="A44" s="6" t="s">
        <v>89</v>
      </c>
    </row>
    <row r="45" spans="1:1" ht="15.75" x14ac:dyDescent="0.25">
      <c r="A45" s="6" t="s">
        <v>90</v>
      </c>
    </row>
    <row r="46" spans="1:1" ht="15.75" x14ac:dyDescent="0.25">
      <c r="A46" s="6" t="s">
        <v>91</v>
      </c>
    </row>
    <row r="47" spans="1:1" ht="15.75" x14ac:dyDescent="0.25">
      <c r="A47" s="6" t="s">
        <v>92</v>
      </c>
    </row>
    <row r="48" spans="1:1" ht="15.75" x14ac:dyDescent="0.25">
      <c r="A48" s="6" t="s">
        <v>93</v>
      </c>
    </row>
    <row r="49" spans="1:1" ht="15.75" x14ac:dyDescent="0.25">
      <c r="A49" s="6" t="s">
        <v>94</v>
      </c>
    </row>
    <row r="50" spans="1:1" ht="15.75" x14ac:dyDescent="0.25">
      <c r="A50" s="6" t="s">
        <v>95</v>
      </c>
    </row>
    <row r="51" spans="1:1" ht="15.75" x14ac:dyDescent="0.25">
      <c r="A51" s="6" t="s">
        <v>96</v>
      </c>
    </row>
    <row r="52" spans="1:1" s="6" customFormat="1" x14ac:dyDescent="0.2">
      <c r="A52" s="6" t="s">
        <v>97</v>
      </c>
    </row>
    <row r="53" spans="1:1" ht="15.75" x14ac:dyDescent="0.25">
      <c r="A53" s="6" t="s">
        <v>98</v>
      </c>
    </row>
    <row r="54" spans="1:1" ht="15.75" x14ac:dyDescent="0.25">
      <c r="A54" s="6" t="s">
        <v>99</v>
      </c>
    </row>
    <row r="55" spans="1:1" ht="15.75" x14ac:dyDescent="0.25">
      <c r="A55" s="6" t="s">
        <v>100</v>
      </c>
    </row>
    <row r="56" spans="1:1" ht="15.75" x14ac:dyDescent="0.25">
      <c r="A56" s="6" t="s">
        <v>101</v>
      </c>
    </row>
  </sheetData>
  <hyperlinks>
    <hyperlink ref="A2" r:id="rId1" location="non-text-content" xr:uid="{00000000-0004-0000-0400-000000000000}"/>
    <hyperlink ref="A3" r:id="rId2" location="audio-only-and-video-only-prerecorded" xr:uid="{00000000-0004-0000-0400-000001000000}"/>
    <hyperlink ref="A4" r:id="rId3" location="captions-prerecorded" xr:uid="{00000000-0004-0000-0400-000002000000}"/>
    <hyperlink ref="A5" r:id="rId4" location="audio-description-or-media-alternative-prerecorded" xr:uid="{00000000-0004-0000-0400-000003000000}"/>
    <hyperlink ref="A6" r:id="rId5" location="captions-live" xr:uid="{00000000-0004-0000-0400-000004000000}"/>
    <hyperlink ref="A7" r:id="rId6" location="audio-description-prerecorded" xr:uid="{00000000-0004-0000-0400-000005000000}"/>
    <hyperlink ref="A8" r:id="rId7" location="info-and-relationships" xr:uid="{00000000-0004-0000-0400-000006000000}"/>
    <hyperlink ref="A9" r:id="rId8" location="meaningful-sequence" xr:uid="{00000000-0004-0000-0400-000007000000}"/>
    <hyperlink ref="A10" r:id="rId9" location="sensory-characteristics" xr:uid="{00000000-0004-0000-0400-000008000000}"/>
    <hyperlink ref="A11" r:id="rId10" location="orientation" xr:uid="{00000000-0004-0000-0400-000009000000}"/>
    <hyperlink ref="A12" r:id="rId11" location="identify-input-purpose" xr:uid="{00000000-0004-0000-0400-00000A000000}"/>
    <hyperlink ref="A13" r:id="rId12" location="use-of-color" xr:uid="{00000000-0004-0000-0400-00000B000000}"/>
    <hyperlink ref="A18" r:id="rId13" location="audio-control" xr:uid="{00000000-0004-0000-0400-00000C000000}"/>
    <hyperlink ref="A19" r:id="rId14" location="contrast-minimum" xr:uid="{00000000-0004-0000-0400-00000D000000}"/>
    <hyperlink ref="A20" r:id="rId15" location="resize-text" xr:uid="{00000000-0004-0000-0400-00000E000000}"/>
    <hyperlink ref="A21" r:id="rId16" location="images-of-text" xr:uid="{00000000-0004-0000-0400-00000F000000}"/>
    <hyperlink ref="A14" r:id="rId17" location="reflow" xr:uid="{00000000-0004-0000-0400-000010000000}"/>
    <hyperlink ref="A15" r:id="rId18" location="non-text-contrast" xr:uid="{00000000-0004-0000-0400-000011000000}"/>
    <hyperlink ref="A16" r:id="rId19" location="text-spacing" xr:uid="{00000000-0004-0000-0400-000012000000}"/>
    <hyperlink ref="A17" r:id="rId20" location="content-on-hover-or-focus" xr:uid="{00000000-0004-0000-0400-000013000000}"/>
    <hyperlink ref="A22" r:id="rId21" location="keyboard" xr:uid="{00000000-0004-0000-0400-000014000000}"/>
    <hyperlink ref="A23" r:id="rId22" location="no-keyboard-trap" xr:uid="{00000000-0004-0000-0400-000015000000}"/>
    <hyperlink ref="A24" r:id="rId23" location="character-key-shortcuts" xr:uid="{00000000-0004-0000-0400-000016000000}"/>
    <hyperlink ref="A25" r:id="rId24" location="timing-adjustable" xr:uid="{00000000-0004-0000-0400-000017000000}"/>
    <hyperlink ref="A26" r:id="rId25" location="pause-stop-hide" xr:uid="{00000000-0004-0000-0400-000018000000}"/>
    <hyperlink ref="A27" r:id="rId26" location="three-flashes-or-below-threshold" xr:uid="{00000000-0004-0000-0400-000019000000}"/>
    <hyperlink ref="A28" r:id="rId27" location="bypass-blocks" xr:uid="{00000000-0004-0000-0400-00001A000000}"/>
    <hyperlink ref="A30" r:id="rId28" location="page-titled" xr:uid="{00000000-0004-0000-0400-00001B000000}"/>
    <hyperlink ref="A31" r:id="rId29" location="focus-order" xr:uid="{00000000-0004-0000-0400-00001C000000}"/>
    <hyperlink ref="A32" r:id="rId30" location="link-purpose-in-context" xr:uid="{00000000-0004-0000-0400-00001D000000}"/>
    <hyperlink ref="A33" r:id="rId31" location="multiple-ways" xr:uid="{00000000-0004-0000-0400-00001E000000}"/>
    <hyperlink ref="A34" r:id="rId32" location="headings-and-labels" xr:uid="{00000000-0004-0000-0400-00001F000000}"/>
    <hyperlink ref="A35" r:id="rId33" location="focus-visible" xr:uid="{00000000-0004-0000-0400-000020000000}"/>
    <hyperlink ref="A29" r:id="rId34" location="focus-not-obscured-minimum" xr:uid="{00000000-0004-0000-0400-000021000000}"/>
    <hyperlink ref="A36" r:id="rId35" location="pointer-gestures" xr:uid="{00000000-0004-0000-0400-000022000000}"/>
    <hyperlink ref="A37" r:id="rId36" location="pointer-cancellation" xr:uid="{00000000-0004-0000-0400-000023000000}"/>
    <hyperlink ref="A38" r:id="rId37" location="label-in-name" xr:uid="{00000000-0004-0000-0400-000024000000}"/>
    <hyperlink ref="A39" r:id="rId38" location="motion-actuation" xr:uid="{00000000-0004-0000-0400-000025000000}"/>
    <hyperlink ref="A40" r:id="rId39" location="dragging-movements" xr:uid="{00000000-0004-0000-0400-000026000000}"/>
    <hyperlink ref="A41" r:id="rId40" location="target-size-minimum" xr:uid="{00000000-0004-0000-0400-000027000000}"/>
    <hyperlink ref="A42" r:id="rId41" location="language-of-page" xr:uid="{00000000-0004-0000-0400-000028000000}"/>
    <hyperlink ref="A43" r:id="rId42" location="language-of-parts" xr:uid="{00000000-0004-0000-0400-000029000000}"/>
    <hyperlink ref="A44" r:id="rId43" location="on-focus" xr:uid="{00000000-0004-0000-0400-00002A000000}"/>
    <hyperlink ref="A45" r:id="rId44" location="on-input" xr:uid="{00000000-0004-0000-0400-00002B000000}"/>
    <hyperlink ref="A46" r:id="rId45" location="consistent-navigation" xr:uid="{00000000-0004-0000-0400-00002C000000}"/>
    <hyperlink ref="A47" r:id="rId46" location="consistent-identification" xr:uid="{00000000-0004-0000-0400-00002D000000}"/>
    <hyperlink ref="A48" r:id="rId47" location="consistent-help" xr:uid="{00000000-0004-0000-0400-00002E000000}"/>
    <hyperlink ref="A49" r:id="rId48" location="error-identification" xr:uid="{00000000-0004-0000-0400-00002F000000}"/>
    <hyperlink ref="A50" r:id="rId49" location="labels-or-instructions" xr:uid="{00000000-0004-0000-0400-000030000000}"/>
    <hyperlink ref="A51" r:id="rId50" location="error-suggestion" xr:uid="{00000000-0004-0000-0400-000031000000}"/>
    <hyperlink ref="A52" r:id="rId51" location="error-prevention-legal-financial-data" xr:uid="{00000000-0004-0000-0400-000032000000}"/>
    <hyperlink ref="A53" r:id="rId52" location="redundant-entry" xr:uid="{00000000-0004-0000-0400-000033000000}"/>
    <hyperlink ref="A54" r:id="rId53" location="accessible-authentication-minimum" xr:uid="{00000000-0004-0000-0400-000034000000}"/>
    <hyperlink ref="A52:XFD52" r:id="rId54" location="name-role-value" display="4.1.2 Name, Role, Value (A)" xr:uid="{00000000-0004-0000-0400-000035000000}"/>
    <hyperlink ref="A56" r:id="rId55" location="status-messages" xr:uid="{00000000-0004-0000-0400-000036000000}"/>
  </hyperlinks>
  <pageMargins left="0.7" right="0.7" top="0.75" bottom="0.75" header="0.3" footer="0.3"/>
  <tableParts count="1">
    <tablePart r:id="rId5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136b370-9b09-4dfc-9b03-08bd01f60bbc">
      <Terms xmlns="http://schemas.microsoft.com/office/infopath/2007/PartnerControls"/>
    </lcf76f155ced4ddcb4097134ff3c332f>
    <TaxCatchAll xmlns="a012520c-71f8-4b72-ada1-3c6aba3b7b8c" xsi:nil="true"/>
    <SharedWithUsers xmlns="a012520c-71f8-4b72-ada1-3c6aba3b7b8c">
      <UserInfo>
        <DisplayName>Vennila Duraisamy</DisplayName>
        <AccountId>545</AccountId>
        <AccountType/>
      </UserInfo>
      <UserInfo>
        <DisplayName>Hannah Chipman</DisplayName>
        <AccountId>418</AccountId>
        <AccountType/>
      </UserInfo>
      <UserInfo>
        <DisplayName>Igor Shcherbinin</DisplayName>
        <AccountId>349</AccountId>
        <AccountType/>
      </UserInfo>
      <UserInfo>
        <DisplayName>Scott Boren</DisplayName>
        <AccountId>539</AccountId>
        <AccountType/>
      </UserInfo>
      <UserInfo>
        <DisplayName>Kristen Riquino</DisplayName>
        <AccountId>461</AccountId>
        <AccountType/>
      </UserInfo>
      <UserInfo>
        <DisplayName>Sangeetha Vinod</DisplayName>
        <AccountId>525</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687500F3657D74CBF050189AB045EBB" ma:contentTypeVersion="18" ma:contentTypeDescription="Create a new document." ma:contentTypeScope="" ma:versionID="7426d220f69b615140e7498b8476b412">
  <xsd:schema xmlns:xsd="http://www.w3.org/2001/XMLSchema" xmlns:xs="http://www.w3.org/2001/XMLSchema" xmlns:p="http://schemas.microsoft.com/office/2006/metadata/properties" xmlns:ns2="6136b370-9b09-4dfc-9b03-08bd01f60bbc" xmlns:ns3="a012520c-71f8-4b72-ada1-3c6aba3b7b8c" targetNamespace="http://schemas.microsoft.com/office/2006/metadata/properties" ma:root="true" ma:fieldsID="bdc5e56295a65ad51db03f49f0933321" ns2:_="" ns3:_="">
    <xsd:import namespace="6136b370-9b09-4dfc-9b03-08bd01f60bbc"/>
    <xsd:import namespace="a012520c-71f8-4b72-ada1-3c6aba3b7b8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36b370-9b09-4dfc-9b03-08bd01f60bbc"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2" nillable="true" ma:displayName="MediaServiceAutoTags" ma:internalName="MediaServiceAutoTags"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cb2b71a-ac8b-4347-9f63-f75d234e2459" ma:termSetId="09814cd3-568e-fe90-9814-8d621ff8fb84" ma:anchorId="fba54fb3-c3e1-fe81-a776-ca4b69148c4d" ma:open="true" ma:isKeyword="false">
      <xsd:complexType>
        <xsd:sequence>
          <xsd:element ref="pc:Terms" minOccurs="0" maxOccurs="1"/>
        </xsd:sequence>
      </xsd:complex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012520c-71f8-4b72-ada1-3c6aba3b7b8c" elementFormDefault="qualified">
    <xsd:import namespace="http://schemas.microsoft.com/office/2006/documentManagement/types"/>
    <xsd:import namespace="http://schemas.microsoft.com/office/infopath/2007/PartnerControls"/>
    <xsd:element name="SharedWithUsers" ma:index="10"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description="" ma:internalName="SharedWithDetails" ma:readOnly="true">
      <xsd:simpleType>
        <xsd:restriction base="dms:Note">
          <xsd:maxLength value="255"/>
        </xsd:restriction>
      </xsd:simpleType>
    </xsd:element>
    <xsd:element name="TaxCatchAll" ma:index="22" nillable="true" ma:displayName="Taxonomy Catch All Column" ma:hidden="true" ma:list="{a8779c9a-ea62-449c-a586-3b8813e78c07}" ma:internalName="TaxCatchAll" ma:showField="CatchAllData" ma:web="a012520c-71f8-4b72-ada1-3c6aba3b7b8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EC37A89-75A8-40EB-B94D-EC17E5597BEF}">
  <ds:schemaRefs>
    <ds:schemaRef ds:uri="http://schemas.microsoft.com/DataMashup"/>
  </ds:schemaRefs>
</ds:datastoreItem>
</file>

<file path=customXml/itemProps2.xml><?xml version="1.0" encoding="utf-8"?>
<ds:datastoreItem xmlns:ds="http://schemas.openxmlformats.org/officeDocument/2006/customXml" ds:itemID="{C3EFBCBB-9C9D-4F6B-8D5A-EDC7AF7105C7}">
  <ds:schemaRefs>
    <ds:schemaRef ds:uri="http://schemas.microsoft.com/office/2006/metadata/properties"/>
    <ds:schemaRef ds:uri="http://schemas.microsoft.com/office/infopath/2007/PartnerControls"/>
    <ds:schemaRef ds:uri="6136b370-9b09-4dfc-9b03-08bd01f60bbc"/>
    <ds:schemaRef ds:uri="a012520c-71f8-4b72-ada1-3c6aba3b7b8c"/>
  </ds:schemaRefs>
</ds:datastoreItem>
</file>

<file path=customXml/itemProps3.xml><?xml version="1.0" encoding="utf-8"?>
<ds:datastoreItem xmlns:ds="http://schemas.openxmlformats.org/officeDocument/2006/customXml" ds:itemID="{108C30B0-672C-4EC8-BF69-80DA4F78B0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36b370-9b09-4dfc-9b03-08bd01f60bbc"/>
    <ds:schemaRef ds:uri="a012520c-71f8-4b72-ada1-3c6aba3b7b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102B2AB-A0AC-4DEE-9D4F-A911258BB20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Evaluation Summary</vt:lpstr>
      <vt:lpstr>Issue List</vt:lpstr>
      <vt:lpstr>Examples</vt:lpstr>
      <vt:lpstr>Evaluation Environment</vt:lpstr>
      <vt:lpstr>WCAG 2.2 A-AA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Jangam Mamilla</dc:creator>
  <cp:keywords>full; lreval</cp:keywords>
  <cp:lastModifiedBy>Aakanksha Saini</cp:lastModifiedBy>
  <cp:revision/>
  <dcterms:created xsi:type="dcterms:W3CDTF">2020-01-24T16:17:30Z</dcterms:created>
  <dcterms:modified xsi:type="dcterms:W3CDTF">2024-09-20T09:01:27Z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0x0101002687500F3657D74CBF050189AB045EBB</vt:lpwstr>
  </property>
  <property fmtid="{D5CDD505-2E9C-101B-9397-08002B2CF9AE}" pid="3" name="MediaServiceImageTags">
    <vt:lpwstr/>
  </property>
</Properties>
</file>