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F:\Projects\Accessibility\18sep2024\R323 Performance Optimization\"/>
    </mc:Choice>
  </mc:AlternateContent>
  <xr:revisionPtr revIDLastSave="0" documentId="13_ncr:1_{94A508A5-CE6D-41D8-B71B-B4A0F15FCB17}" xr6:coauthVersionLast="47" xr6:coauthVersionMax="47" xr10:uidLastSave="{00000000-0000-0000-0000-000000000000}"/>
  <bookViews>
    <workbookView xWindow="-120" yWindow="-120" windowWidth="29040" windowHeight="15720" tabRatio="771" activeTab="1" xr2:uid="{EED524EA-7C24-4BAC-9712-0145B2DCDE6B}"/>
  </bookViews>
  <sheets>
    <sheet name="Evaluation Summary" sheetId="11" r:id="rId1"/>
    <sheet name="Issue List" sheetId="6" r:id="rId2"/>
    <sheet name="Examples" sheetId="12" r:id="rId3"/>
    <sheet name="Evaluation Environment" sheetId="13" r:id="rId4"/>
    <sheet name="WCAG 2.2 A-AA"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1" l="1"/>
  <c r="B14" i="11"/>
  <c r="B1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985144-D764-4178-ACBE-D989A29B71BB}" keepAlive="1" name="Query - Master_Issue_Tracker" description="Connection to the 'Master_Issue_Tracker' query in the workbook." type="5" refreshedVersion="0" background="1" saveData="1">
    <dbPr connection="Provider=Microsoft.Mashup.OleDb.1;Data Source=$Workbook$;Location=Master_Issue_Tracker;Extended Properties=&quot;&quot;" command="SELECT * FROM [Master_Issue_Tracker]"/>
  </connection>
</connections>
</file>

<file path=xl/sharedStrings.xml><?xml version="1.0" encoding="utf-8"?>
<sst xmlns="http://schemas.openxmlformats.org/spreadsheetml/2006/main" count="266" uniqueCount="218">
  <si>
    <t>Western Governors University</t>
  </si>
  <si>
    <t>Vendor Name:</t>
  </si>
  <si>
    <t>Product Name:</t>
  </si>
  <si>
    <t>URL:</t>
  </si>
  <si>
    <t>Evaluation Date:</t>
  </si>
  <si>
    <t>Evaluation Status:</t>
  </si>
  <si>
    <t>Executive Summary:</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</si>
  <si>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</si>
  <si>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</si>
  <si>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</si>
  <si>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</si>
  <si>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</si>
  <si>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</si>
  <si>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</si>
  <si>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</si>
  <si>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</si>
  <si>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</si>
  <si>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</si>
  <si>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</si>
  <si>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</si>
  <si>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</si>
  <si>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</si>
  <si>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</si>
  <si>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</si>
  <si>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</si>
  <si>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</si>
  <si>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</si>
  <si>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</si>
  <si>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</si>
  <si>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</si>
  <si>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Microsoft Edge</t>
  </si>
  <si>
    <t>NonVisual Desktop Access (NVDA)</t>
  </si>
  <si>
    <t>Job Access With Speech (JAWS)</t>
  </si>
  <si>
    <t>PDF Accessibility Checker (PAC) 2024</t>
  </si>
  <si>
    <t>24.0.0.1</t>
  </si>
  <si>
    <t>Colour Contrast Analyser (CCA)</t>
  </si>
  <si>
    <t>3.4.2</t>
  </si>
  <si>
    <t>Adobe Digital Editions (ADE)</t>
  </si>
  <si>
    <t>4.5.12.112</t>
  </si>
  <si>
    <t>WAVE Evaluation Tool (WAVE)</t>
  </si>
  <si>
    <t>Accessibility Insights for Web</t>
  </si>
  <si>
    <t>2.41.0</t>
  </si>
  <si>
    <t>IBM Equal Access Accessibility Checker</t>
  </si>
  <si>
    <t>axe DevTools</t>
  </si>
  <si>
    <t>Lighthouse</t>
  </si>
  <si>
    <t>Adobe Acrobat Pro</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</si>
  <si>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</si>
  <si>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</si>
  <si>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</si>
  <si>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</si>
  <si>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</si>
  <si>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</si>
  <si>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</si>
  <si>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</si>
  <si>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</si>
  <si>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</si>
  <si>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</si>
  <si>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</si>
  <si>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</si>
  <si>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</si>
  <si>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</si>
  <si>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</si>
  <si>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</si>
  <si>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</si>
  <si>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</si>
  <si>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</si>
  <si>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</si>
  <si>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</si>
  <si>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</si>
  <si>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</si>
  <si>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</si>
  <si>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</si>
  <si>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</si>
  <si>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</si>
  <si>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</si>
  <si>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</si>
  <si>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</si>
  <si>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</si>
  <si>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</si>
  <si>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</si>
  <si>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</si>
  <si>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</si>
  <si>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</si>
  <si>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</si>
  <si>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</si>
  <si>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</si>
  <si>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</si>
  <si>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</si>
  <si>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</si>
  <si>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</si>
  <si>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</si>
  <si>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</si>
  <si>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</si>
  <si>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</si>
  <si>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</si>
  <si>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</si>
  <si>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</si>
  <si>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</si>
  <si>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</si>
  <si>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</si>
  <si>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</si>
  <si>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</si>
  <si>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ANDI</t>
  </si>
  <si>
    <t>29.1.1</t>
  </si>
  <si>
    <t>124.0.1</t>
  </si>
  <si>
    <t>123.0.2420.65</t>
  </si>
  <si>
    <t>3.2.5.3</t>
  </si>
  <si>
    <t>2023.2402.1</t>
  </si>
  <si>
    <t>3.1.68</t>
  </si>
  <si>
    <t>4.8.4</t>
  </si>
  <si>
    <t>11.5.0</t>
  </si>
  <si>
    <t>2024.001.20629</t>
  </si>
  <si>
    <t>Learning Resource (LR) - Accessibility Evaluation Report</t>
  </si>
  <si>
    <t>LR Format:</t>
  </si>
  <si>
    <t>Percipio</t>
  </si>
  <si>
    <t>Minor</t>
  </si>
  <si>
    <t>Single</t>
  </si>
  <si>
    <t>Keyboard tab navigation</t>
  </si>
  <si>
    <t>On tab navigation, after "Jump to main content link" the focus is on "Site navigation" button instead of "WGU" logo link.</t>
  </si>
  <si>
    <t>The focus should be in such a order that after "Jump to main content" link, it should be on "WGU" then "search","Achievements", "Notifications", "My profile" and then it should move to site navigation.</t>
  </si>
  <si>
    <t>Students cannot able to navigate easily if the focus order is not properly provided</t>
  </si>
  <si>
    <t>Critical</t>
  </si>
  <si>
    <t>Partial</t>
  </si>
  <si>
    <t>Global</t>
  </si>
  <si>
    <t>Screen reader</t>
  </si>
  <si>
    <t>Video</t>
  </si>
  <si>
    <t>Moderate Remediation</t>
  </si>
  <si>
    <t>Color alone is used solely to represent links</t>
  </si>
  <si>
    <t>The Links should have color contrast of atleast 3:1 with its surrounding text and it should be underlines on hover</t>
  </si>
  <si>
    <t>Students may face issue while accessing the links</t>
  </si>
  <si>
    <t>Maintain the focus order on giving appropriate tab values</t>
  </si>
  <si>
    <t>Links should be underlined and should maintain 3:1 with its foreground text</t>
  </si>
  <si>
    <t>Screenreader should read the correct and required information for logo.</t>
  </si>
  <si>
    <t>Student may confuse with the role and the purpose of the logo.</t>
  </si>
  <si>
    <t>Western Governance University logo</t>
  </si>
  <si>
    <t xml:space="preserve">Screen reader should proceed one line by line.  </t>
  </si>
  <si>
    <t>This may leads to a confusion for the users to understand the clear context of the content.</t>
  </si>
  <si>
    <t xml:space="preserve">Screenreader and keyboard   tab navigation </t>
  </si>
  <si>
    <t>In the Banner Landmark (link "jump to the main content" )</t>
  </si>
  <si>
    <t>In footer section&gt;License Agreement,
Privacy Policy,
Help.</t>
  </si>
  <si>
    <r>
      <t xml:space="preserve">To resolve this issue it is essential to improve the page structure so that the screen reader can read the content correctly and in an orderly manner .
</t>
    </r>
    <r>
      <rPr>
        <b/>
        <sz val="12"/>
        <color theme="1"/>
        <rFont val="Arial"/>
        <family val="2"/>
      </rPr>
      <t>This can achieve this by adding an anchor tag with an href attribute that includes an ID reference, such as "#main-content"</t>
    </r>
  </si>
  <si>
    <t>Color is solely used to determine the links in footer without providing an underline on hovering.
&gt;&gt;In footer section&gt;License Agreement,
Privacy Policy,
Help.</t>
  </si>
  <si>
    <t>Elements of the content should be visible in normal to small viewport.</t>
  </si>
  <si>
    <t>Users may face the issue while accessing the content of the website in the small screen.</t>
  </si>
  <si>
    <t>Adjust the content according to the every possible viewports .</t>
  </si>
  <si>
    <t>Navigate to the Inspect section of the website and change the viewport size to 320*256 dimensions ,Observe that the content of the website is not visible.
i.e User is unable to see the content or tab present below the video as the content is moving below the video preview.</t>
  </si>
  <si>
    <t>Screen reader reads everything at once</t>
  </si>
  <si>
    <t>Screen reflow</t>
  </si>
  <si>
    <t>Non-interactive element receives keyboard focus</t>
  </si>
  <si>
    <t xml:space="preserve">Student may Lead to the wrong information </t>
  </si>
  <si>
    <t>Ensure the screen reader reads the content on keyboard navigation.</t>
  </si>
  <si>
    <t>Keyboard tab focus should only be availble for the interactive elements.</t>
  </si>
  <si>
    <t xml:space="preserve">It will impact the visual impairment users </t>
  </si>
  <si>
    <t>Tabs should be presented in the list for the assistive technologies</t>
  </si>
  <si>
    <t>Provide the proper list tagging for the Mediaplayer tabs</t>
  </si>
  <si>
    <t>Colour contrast is very low 2:1</t>
  </si>
  <si>
    <t>Colour contrast ratio for the icon should meet to the required ration 
i.e contrast ratio less than 4.5:1, or large text (larger than 18 point or 14 point bold) has a contrast ratio less than 3:1.</t>
  </si>
  <si>
    <t>Ensure the color contrast meets the required standards.</t>
  </si>
  <si>
    <t>CCA tool</t>
  </si>
  <si>
    <t>Incorrect list mark up for the site navigation</t>
  </si>
  <si>
    <t>List mark up used incorrectly where the "Site Navigation" button is marked in a list with the "Achievements"buttons.</t>
  </si>
  <si>
    <t>"Site Navigation" button should not marked in a list with the "Achievements"buttons.</t>
  </si>
  <si>
    <t xml:space="preserve">Student may Lead to the inappropriate list structure </t>
  </si>
  <si>
    <t xml:space="preserve">Please ensure the proper listing items present within the list </t>
  </si>
  <si>
    <t>Screen reader and Source code</t>
  </si>
  <si>
    <t>Header section&gt;WGU Logo,Search inbox
,Achievements,Site Navigation,Notifiaction,Profile</t>
  </si>
  <si>
    <t>Raj Singh</t>
  </si>
  <si>
    <t>123.0.6312.86</t>
  </si>
  <si>
    <t>2023.3.4.31265</t>
  </si>
  <si>
    <r>
      <t xml:space="preserve">Screen reader is identifying the logo as </t>
    </r>
    <r>
      <rPr>
        <b/>
        <sz val="12"/>
        <color theme="1"/>
        <rFont val="Arial"/>
        <family val="2"/>
      </rPr>
      <t>"Visited link Pericipio home"</t>
    </r>
    <r>
      <rPr>
        <sz val="12"/>
        <color theme="1"/>
        <rFont val="Arial"/>
        <family val="2"/>
      </rPr>
      <t xml:space="preserve"> instead of identifying it as WGU logo.
</t>
    </r>
  </si>
  <si>
    <r>
      <t>Ensure that the correct all text is announced by the screen reader as its "</t>
    </r>
    <r>
      <rPr>
        <b/>
        <sz val="12"/>
        <color theme="1"/>
        <rFont val="Arial"/>
        <family val="2"/>
      </rPr>
      <t xml:space="preserve">Western Governance University logo linked to the home page " </t>
    </r>
    <r>
      <rPr>
        <sz val="12"/>
        <color theme="1"/>
        <rFont val="Arial"/>
        <family val="2"/>
      </rPr>
      <t xml:space="preserve">or </t>
    </r>
    <r>
      <rPr>
        <b/>
        <sz val="12"/>
        <color theme="1"/>
        <rFont val="Arial"/>
        <family val="2"/>
      </rPr>
      <t>"Click on Western Governance University to visti home page"
&gt;&gt;aria-label will overide the alt text provided to the img tag.</t>
    </r>
  </si>
  <si>
    <t xml:space="preserve">Ensure the proper heading is provided to each element present on the web page as per the HTML 5 standard </t>
  </si>
  <si>
    <t>Ensure that multiple headings are used with a proper logical structure, and there should be only one top-level heading (`&lt;h1&gt;`) on the page.</t>
  </si>
  <si>
    <t>Screen reader And manual code inspection</t>
  </si>
  <si>
    <t>Multiple &lt;h1&gt; heading markups</t>
  </si>
  <si>
    <r>
      <t xml:space="preserve">Improper use of multiple </t>
    </r>
    <r>
      <rPr>
        <sz val="12"/>
        <color theme="1"/>
        <rFont val="Arial Unicode MS"/>
      </rPr>
      <t>&lt;h1&gt;</t>
    </r>
    <r>
      <rPr>
        <sz val="12"/>
        <color theme="1"/>
        <rFont val="Calibri"/>
        <family val="2"/>
        <scheme val="minor"/>
      </rPr>
      <t xml:space="preserve"> tags without a clear structure can confuse users and assistive technologies, making it difficult to understand the organization and hierarchy of the content.</t>
    </r>
  </si>
  <si>
    <t>Header section&gt;Search inbox
&gt;&gt;Transcript Tab&gt;Search inbox</t>
  </si>
  <si>
    <t>Incorrect Alt text provide to image</t>
  </si>
  <si>
    <t>23H2</t>
  </si>
  <si>
    <r>
      <t>Navigate a to "</t>
    </r>
    <r>
      <rPr>
        <b/>
        <sz val="12"/>
        <color theme="1"/>
        <rFont val="Arial"/>
        <family val="2"/>
      </rPr>
      <t>Media banner</t>
    </r>
    <r>
      <rPr>
        <sz val="12"/>
        <color theme="1"/>
        <rFont val="Arial"/>
        <family val="2"/>
      </rPr>
      <t xml:space="preserve"> button click on "Show keyboard shortcuts" button and Observe that the Screen reader is announcing its heading </t>
    </r>
    <r>
      <rPr>
        <b/>
        <sz val="12"/>
        <color theme="1"/>
        <rFont val="Arial"/>
        <family val="2"/>
      </rPr>
      <t>"Video player keyboard shortcuts</t>
    </r>
    <r>
      <rPr>
        <sz val="12"/>
        <color theme="1"/>
        <rFont val="Arial"/>
        <family val="2"/>
      </rPr>
      <t>" as Heading level 1.</t>
    </r>
  </si>
  <si>
    <t>Focus order is incorrect</t>
  </si>
  <si>
    <t>List markup is missing or incorrect</t>
  </si>
  <si>
    <t xml:space="preserve">List mark up is for the content &gt;&gt;Media panel&gt;&gt;star rating,add rating,Share…
&gt;&gt;List markup is incorrect for 3dots menu items&gt;shortcuts,Save for later,Schedule learning time,Learn together
</t>
  </si>
  <si>
    <t>Non-interactive content after the "Overview" ,"Transcript"  tab receives keyboard focus.</t>
  </si>
  <si>
    <t>Below the Video&gt;Tab Overview,Transcript</t>
  </si>
  <si>
    <t>Right click on the website &gt;Click Inspect &gt;Change the viewport to 320*256 dim.</t>
  </si>
  <si>
    <t>The video is overlapping the main content  while reflowing</t>
  </si>
  <si>
    <t>1.1.1 Non-text Content (A),1.3.1 Info and Relationships (A),4.1.2 Name, Role, Value (A),2.4.3 Focus Order (A)
1.4.1 Use of Color (A),1.4.10 Reflow (AA),2.1.1 Keyboard (A),1.4.3 Contrast (Minimum) (AA)</t>
  </si>
  <si>
    <t xml:space="preserve">Tab index is not defined properly  &gt;&gt;Media panel&gt;&gt;Action 3dots menu&gt;Save for later,Playlist add/remove,Schedule learning time,Learn together
</t>
  </si>
  <si>
    <t>Keyboard support is missing</t>
  </si>
  <si>
    <t xml:space="preserve">Search Icon present in the input field does not meet to CCA requirement is. 2:1
Navigate &gt;Header section&gt;Search inbox,
</t>
  </si>
  <si>
    <t>Significant</t>
  </si>
  <si>
    <t>State' information is not announced by screen reader</t>
  </si>
  <si>
    <t>Screen reader users may not understand the current state of the control.</t>
  </si>
  <si>
    <t>Update ARIA attributes to correctly reflect the expanded/collapsed state.</t>
  </si>
  <si>
    <t>Screen Reader</t>
  </si>
  <si>
    <t>Screen reader does not announce expanded state information on the 'Skip to section' dropdown control on activating it.
&gt;&gt;For example :  Notification icon in the header section</t>
  </si>
  <si>
    <t>Screen reader should announce "Notification menu button, expanded" or "collapsed" based on the state.</t>
  </si>
  <si>
    <t xml:space="preserve">&gt;&gt;Bannerlandmark Mediaplayer&gt;&gt;Show keyboard shortcuts&lt;: &lt;h1&gt;Video player keyboard shortcuts&lt;/h1&gt;
&gt;&gt;Share,Add rating,Star rating
</t>
  </si>
  <si>
    <t>Media panel&gt;&gt;star rating,add rating,Share…
&gt;&gt;Header section&gt;&gt;My Profile&gt;&gt;Logout button
&gt;&gt;media player&gt; 3dots menu items&gt;shortcuts,Save for later,Schedule learning time,Learn together</t>
  </si>
  <si>
    <t xml:space="preserve">&gt;&gt;Header section : Notification button,Profile icon
&gt;&gt;Media section: 3 dots menu 
</t>
  </si>
  <si>
    <r>
      <t>Screen reader reads the entire page once we click on the link</t>
    </r>
    <r>
      <rPr>
        <b/>
        <sz val="12"/>
        <color theme="1"/>
        <rFont val="Arial"/>
        <family val="2"/>
      </rPr>
      <t xml:space="preserve"> jump to the main content </t>
    </r>
    <r>
      <rPr>
        <sz val="12"/>
        <color theme="1"/>
        <rFont val="Arial"/>
        <family val="2"/>
      </rPr>
      <t>.
for ex. "Jump to main content button
Main Landmark Bread Crump Trail Navigation Landmark list with 1 item Home visited link out of list ...."
This issue violates WCG guideline 1.3 .1( info and relationship) and 4.1 .2 (name role and value)  making it difficult for the users to understand the context of the content</t>
    </r>
  </si>
  <si>
    <t>Keyboard tab navigation fails to move to the suggestions list when the search button is activated.</t>
  </si>
  <si>
    <t>When the search button is activated, keyboard tab navigation does not move to the suggestions list, preventing users from accessing suggested options using the keyboard.</t>
  </si>
  <si>
    <t>After activating the search button, users should be able to navigate to the suggestions list using keyboard tab navigation.</t>
  </si>
  <si>
    <t xml:space="preserve"> This issue hinders accessibility for users who rely on keyboard navigation, making it difficult for them to interact with search suggestions and leading to a frustrating experience.</t>
  </si>
  <si>
    <t xml:space="preserve"> Fix the keyboard navigation logic to ensure that tabbing moves focus to the suggestions list after the search button is activated. Conduct thorough testing to confirm that the navigation works seamlessly across all devices and browsers.</t>
  </si>
  <si>
    <t>&gt;&gt;Search button</t>
  </si>
  <si>
    <t>In the Banner Landmark (link "jump to the main content" )
&gt;&gt;Header Tabs
&gt;&gt; "star rating",Share,Add rating</t>
  </si>
  <si>
    <t>Performance Optimization</t>
  </si>
  <si>
    <t>https://wgu.percipio.com/videos/1248451b-be9d-4e83-bc15-cf576430d220</t>
  </si>
  <si>
    <t>Media panel&gt;&gt;Add rating,Share,star index
&gt;&gt;Media player: CC button,settings button
&gt;&gt;Media player&gt; player speed,Close caption,Setting</t>
  </si>
  <si>
    <t>Incorrect focus order for tabs; focus should advance to the next tab after reading the active tab's content.</t>
  </si>
  <si>
    <t xml:space="preserve"> The focus order for tabs is incorrect; after reading the content of the active tab, the focus does not advance to the next tab as expected.
&gt;&gt;Active tab Overview ,and next Transcript tab</t>
  </si>
  <si>
    <t>When users finish reading the content of the active tab, the focus should automatically move to the next tab in the sequence, allowing for smooth navigation.</t>
  </si>
  <si>
    <t>This issue disrupts the user experience, particularly for those relying on keyboard navigation or assistive technologies, making it harder to navigate through tabbed content efficiently.</t>
  </si>
  <si>
    <t>Adjust the focus management logic to ensure that focus correctly advances to the next tab after the active tab's content is read. Test the navigation flow to confirm that it meets accessibility standards and provides a seamless experience.</t>
  </si>
  <si>
    <t>&gt;&gt;Active tab Overview ,and next Transcript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</si>
</sst>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b/>
      <sz val="20"/>
      <color rgb="FF003057"/>
      <name val="Arial"/>
      <family val="2"/>
    </font>
    <font>
      <b/>
      <sz val="14"/>
      <color rgb="FF63666A"/>
      <name val="Arial"/>
      <family val="2"/>
    </font>
    <font>
      <u/>
      <sz val="12"/>
      <color theme="10"/>
      <name val="Arial"/>
      <family val="2"/>
    </font>
    <font>
      <b/>
      <sz val="14"/>
      <color rgb="FF003057"/>
      <name val="Arial"/>
      <family val="2"/>
    </font>
    <font>
      <sz val="12"/>
      <color theme="1"/>
      <name val="Arial"/>
      <family val="2"/>
    </font>
    <font>
      <b/>
      <sz val="20"/>
      <color rgb="FF003057"/>
      <name val="Arial"/>
      <family val="2"/>
    </font>
    <font>
      <b/>
      <sz val="14"/>
      <color rgb="FF63666A"/>
      <name val="Arial"/>
      <family val="2"/>
    </font>
    <font>
      <b/>
      <sz val="12"/>
      <color theme="1"/>
      <name val="Arial"/>
      <family val="2"/>
    </font>
    <font>
      <sz val="12"/>
      <color theme="1"/>
      <name val="Arial"/>
      <family val="2"/>
    </font>
    <font>
      <u/>
      <sz val="11"/>
      <color theme="10"/>
      <name val="Calibri"/>
      <family val="2"/>
      <scheme val="minor"/>
    </font>
    <font>
      <strike/>
      <sz val="12"/>
      <color theme="1"/>
      <name val="Arial"/>
      <family val="2"/>
    </font>
    <font>
      <sz val="12"/>
      <color rgb="FF000000"/>
      <name val="Arial"/>
      <family val="2"/>
    </font>
    <font>
      <sz val="12"/>
      <color theme="1"/>
      <name val="Calibri"/>
      <family val="2"/>
      <scheme val="minor"/>
    </font>
    <font>
      <sz val="12"/>
      <color theme="1"/>
      <name val="Arial Unicode MS"/>
    </font>
    <font>
      <sz val="12"/>
      <color theme="1"/>
      <name val="Aptos Narrow"/>
      <family val="2"/>
    </font>
    <font>
      <sz val="14"/>
      <color theme="1"/>
      <name val="Aptos Narrow"/>
      <family val="2"/>
    </font>
    <font>
      <b/>
      <sz val="12"/>
      <color theme="1"/>
      <name val="Aptos Narrow"/>
      <family val="2"/>
    </font>
    <font>
      <sz val="12"/>
      <color rgb="FF000000"/>
      <name val="Aptos Narrow"/>
      <family val="2"/>
    </font>
    <font>
      <b/>
      <sz val="12"/>
      <color rgb="FF000000"/>
      <name val="Arial"/>
      <family val="2"/>
    </font>
    <font>
      <sz val="11"/>
      <color rgb="FF000000"/>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4.9989318521683403E-2"/>
        <bgColor rgb="FFB4C6E7"/>
      </patternFill>
    </fill>
    <fill>
      <patternFill patternType="solid">
        <fgColor theme="4"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rgb="FFD9E1F2"/>
        <bgColor rgb="FF000000"/>
      </patternFill>
    </fill>
    <fill>
      <patternFill patternType="solid">
        <fgColor rgb="FFD9E1F2"/>
        <bgColor rgb="FFD9E1F2"/>
      </patternFill>
    </fill>
  </fills>
  <borders count="12">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ck">
        <color indexed="64"/>
      </left>
      <right/>
      <top/>
      <bottom/>
      <diagonal/>
    </border>
    <border>
      <left style="thick">
        <color indexed="64"/>
      </left>
      <right/>
      <top style="thick">
        <color indexed="64"/>
      </top>
      <bottom/>
      <diagonal/>
    </border>
    <border>
      <left/>
      <right style="thick">
        <color indexed="64"/>
      </right>
      <top style="thick">
        <color indexed="64"/>
      </top>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medium">
        <color indexed="64"/>
      </right>
      <top/>
      <bottom style="medium">
        <color indexed="64"/>
      </bottom>
      <diagonal/>
    </border>
  </borders>
  <cellStyleXfs count="4">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6" fillId="0" borderId="0" applyNumberFormat="0" applyFill="0" applyBorder="0" applyAlignment="0" applyProtection="0"/>
  </cellStyleXfs>
  <cellXfs count="79">
    <xf numFmtId="0" fontId="0" fillId="0" borderId="0" xfId="0"/>
    <xf numFmtId="0" fontId="4" fillId="0" borderId="0" xfId="0" applyFont="1"/>
    <xf numFmtId="0" fontId="4" fillId="0" borderId="0" xfId="0" applyFont="1" applyAlignment="1">
      <alignment horizontal="left" vertical="center"/>
    </xf>
    <xf numFmtId="0" fontId="9" fillId="0" borderId="0" xfId="2" quotePrefix="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2" applyAlignment="1">
      <alignment horizontal="left" vertical="top" wrapText="1"/>
    </xf>
    <xf numFmtId="0" fontId="9" fillId="0" borderId="0" xfId="2"/>
    <xf numFmtId="0" fontId="3" fillId="0" borderId="0" xfId="0" applyFont="1"/>
    <xf numFmtId="0" fontId="2" fillId="0" borderId="0" xfId="0" applyFont="1" applyAlignment="1">
      <alignment horizontal="left" vertical="center"/>
    </xf>
    <xf numFmtId="0" fontId="2" fillId="0" borderId="0" xfId="0" applyFont="1"/>
    <xf numFmtId="0" fontId="2" fillId="0" borderId="0" xfId="0" quotePrefix="1" applyFont="1" applyAlignment="1">
      <alignment vertical="center" wrapText="1"/>
    </xf>
    <xf numFmtId="9" fontId="2" fillId="0" borderId="0" xfId="1" applyFont="1" applyAlignment="1">
      <alignment horizontal="left" vertical="center"/>
    </xf>
    <xf numFmtId="14" fontId="2" fillId="0" borderId="0" xfId="0" quotePrefix="1" applyNumberFormat="1" applyFont="1" applyAlignment="1">
      <alignment vertical="center" wrapText="1"/>
    </xf>
    <xf numFmtId="12" fontId="2" fillId="0" borderId="0" xfId="0" applyNumberFormat="1" applyFont="1" applyAlignment="1">
      <alignment horizontal="lef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3" fillId="0" borderId="0" xfId="0" applyFont="1" applyAlignment="1">
      <alignment horizontal="left" vertical="top" wrapText="1"/>
    </xf>
    <xf numFmtId="0" fontId="1" fillId="0" borderId="2" xfId="0" applyFont="1" applyBorder="1" applyAlignment="1">
      <alignment horizontal="left" vertical="top" wrapText="1"/>
    </xf>
    <xf numFmtId="0" fontId="15" fillId="0" borderId="2" xfId="0" applyFont="1" applyBorder="1" applyAlignment="1">
      <alignment horizontal="left" vertical="top" wrapText="1"/>
    </xf>
    <xf numFmtId="0" fontId="9" fillId="0" borderId="2" xfId="2" applyBorder="1" applyAlignment="1">
      <alignment horizontal="left" vertical="top" wrapText="1"/>
    </xf>
    <xf numFmtId="0" fontId="1" fillId="3" borderId="2"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0" borderId="2" xfId="0" applyFont="1" applyBorder="1" applyAlignment="1">
      <alignment horizontal="left" vertical="top" wrapText="1"/>
    </xf>
    <xf numFmtId="0" fontId="0" fillId="0" borderId="2" xfId="0" applyBorder="1" applyAlignment="1">
      <alignment horizontal="left" vertical="top" wrapText="1"/>
    </xf>
    <xf numFmtId="0" fontId="19" fillId="4" borderId="2" xfId="0" applyFont="1" applyFill="1" applyBorder="1" applyAlignment="1">
      <alignment horizontal="left" vertical="top" wrapText="1"/>
    </xf>
    <xf numFmtId="0" fontId="18" fillId="0" borderId="2" xfId="0" applyFont="1" applyBorder="1" applyAlignment="1">
      <alignment horizontal="left" vertical="top" wrapText="1"/>
    </xf>
    <xf numFmtId="0" fontId="2" fillId="0" borderId="2" xfId="0" applyFont="1" applyBorder="1" applyAlignment="1">
      <alignment horizontal="left" vertical="top" wrapText="1"/>
    </xf>
    <xf numFmtId="0" fontId="0" fillId="3" borderId="2" xfId="0" applyFill="1" applyBorder="1" applyAlignment="1">
      <alignment horizontal="left" vertical="top" wrapText="1"/>
    </xf>
    <xf numFmtId="0" fontId="17" fillId="0" borderId="2" xfId="0" applyFont="1" applyBorder="1" applyAlignment="1">
      <alignment horizontal="left" vertical="top" wrapText="1"/>
    </xf>
    <xf numFmtId="0" fontId="5" fillId="0" borderId="2" xfId="0" applyFont="1" applyBorder="1" applyAlignment="1">
      <alignment horizontal="left" vertical="top" wrapText="1"/>
    </xf>
    <xf numFmtId="0" fontId="5" fillId="3"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15" fillId="5"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9" fillId="5" borderId="2" xfId="2" applyFill="1" applyBorder="1" applyAlignment="1">
      <alignment horizontal="left" vertical="top" wrapText="1"/>
    </xf>
    <xf numFmtId="0" fontId="0" fillId="5" borderId="2" xfId="0" applyFill="1" applyBorder="1" applyAlignment="1">
      <alignment horizontal="left" vertical="top" wrapText="1"/>
    </xf>
    <xf numFmtId="0" fontId="4" fillId="5" borderId="2" xfId="0" applyFont="1" applyFill="1" applyBorder="1" applyAlignment="1">
      <alignment horizontal="left" vertical="top" wrapText="1"/>
    </xf>
    <xf numFmtId="0" fontId="18" fillId="5" borderId="2" xfId="0" applyFont="1" applyFill="1" applyBorder="1" applyAlignment="1">
      <alignment horizontal="left" vertical="top" wrapText="1"/>
    </xf>
    <xf numFmtId="0" fontId="23"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21" fillId="6" borderId="2" xfId="0" applyFont="1" applyFill="1" applyBorder="1" applyAlignment="1">
      <alignment horizontal="left" vertical="top" wrapText="1"/>
    </xf>
    <xf numFmtId="0" fontId="22" fillId="6" borderId="2" xfId="0" applyFont="1" applyFill="1" applyBorder="1" applyAlignment="1">
      <alignment horizontal="left" vertical="top" wrapText="1"/>
    </xf>
    <xf numFmtId="0" fontId="4" fillId="6" borderId="0" xfId="0" applyFont="1" applyFill="1"/>
    <xf numFmtId="0" fontId="11" fillId="0" borderId="3" xfId="0" applyFont="1" applyBorder="1" applyAlignment="1">
      <alignment horizontal="left" vertical="center"/>
    </xf>
    <xf numFmtId="0" fontId="14" fillId="0" borderId="6" xfId="0" applyFont="1" applyBorder="1" applyAlignment="1">
      <alignment horizontal="left" vertical="center"/>
    </xf>
    <xf numFmtId="0" fontId="14" fillId="0" borderId="7" xfId="0" applyFont="1" applyBorder="1" applyAlignment="1">
      <alignment vertical="center" wrapText="1"/>
    </xf>
    <xf numFmtId="0" fontId="1" fillId="0" borderId="8" xfId="0" applyFont="1" applyBorder="1" applyAlignment="1">
      <alignment horizontal="center" vertical="center" wrapText="1"/>
    </xf>
    <xf numFmtId="0" fontId="11" fillId="0" borderId="8" xfId="0" applyFont="1" applyBorder="1" applyAlignment="1">
      <alignment horizontal="center" vertical="center" wrapText="1"/>
    </xf>
    <xf numFmtId="14" fontId="1" fillId="0" borderId="8" xfId="0" applyNumberFormat="1" applyFont="1" applyBorder="1" applyAlignment="1">
      <alignment horizontal="center" vertical="center" wrapText="1"/>
    </xf>
    <xf numFmtId="0" fontId="14" fillId="0" borderId="7" xfId="0" applyFont="1" applyBorder="1" applyAlignment="1">
      <alignment vertical="center"/>
    </xf>
    <xf numFmtId="0" fontId="11" fillId="0" borderId="8" xfId="0" applyFont="1" applyBorder="1" applyAlignment="1">
      <alignment horizontal="center" vertical="center"/>
    </xf>
    <xf numFmtId="0" fontId="11" fillId="0" borderId="8" xfId="0" applyFont="1" applyBorder="1" applyAlignment="1">
      <alignment horizontal="left" vertical="center" wrapText="1"/>
    </xf>
    <xf numFmtId="0" fontId="14" fillId="0" borderId="9" xfId="0" applyFont="1" applyBorder="1" applyAlignment="1">
      <alignment horizontal="left" vertical="center"/>
    </xf>
    <xf numFmtId="0" fontId="11" fillId="0" borderId="10" xfId="0" applyFont="1" applyBorder="1" applyAlignment="1">
      <alignment horizontal="left" vertical="center" wrapText="1"/>
    </xf>
    <xf numFmtId="0" fontId="5" fillId="5" borderId="0" xfId="0" applyFont="1" applyFill="1" applyAlignment="1">
      <alignment wrapText="1"/>
    </xf>
    <xf numFmtId="0" fontId="1" fillId="5" borderId="0" xfId="0" applyFont="1" applyFill="1" applyAlignment="1">
      <alignment wrapText="1"/>
    </xf>
    <xf numFmtId="0" fontId="0" fillId="5" borderId="0" xfId="0" applyFill="1" applyAlignment="1">
      <alignment wrapText="1"/>
    </xf>
    <xf numFmtId="0" fontId="21" fillId="5" borderId="2" xfId="0" applyFont="1" applyFill="1" applyBorder="1" applyAlignment="1">
      <alignment horizontal="left" vertical="top" wrapText="1"/>
    </xf>
    <xf numFmtId="0" fontId="4" fillId="5" borderId="0" xfId="0" applyFont="1" applyFill="1" applyAlignment="1">
      <alignment wrapText="1"/>
    </xf>
    <xf numFmtId="0" fontId="24" fillId="0" borderId="0" xfId="0" applyFont="1"/>
    <xf numFmtId="0" fontId="9" fillId="0" borderId="11" xfId="2" applyBorder="1" applyAlignment="1">
      <alignment horizontal="left" vertical="top"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0" fillId="0" borderId="0" xfId="0" applyFont="1" applyAlignment="1">
      <alignment horizontal="center" vertical="center" wrapText="1"/>
    </xf>
    <xf numFmtId="0" fontId="25" fillId="8" borderId="0" xfId="0" applyFont="1" applyFill="1" applyAlignment="1">
      <alignment wrapText="1"/>
    </xf>
    <xf numFmtId="0" fontId="18" fillId="9" borderId="2" xfId="0" applyFont="1" applyFill="1" applyBorder="1" applyAlignment="1">
      <alignment horizontal="left" vertical="top" wrapText="1"/>
    </xf>
    <xf numFmtId="0" fontId="18" fillId="8" borderId="0" xfId="0" applyFont="1" applyFill="1" applyAlignment="1">
      <alignment wrapText="1"/>
    </xf>
    <xf numFmtId="0" fontId="18" fillId="0" borderId="0" xfId="0" applyFont="1" applyAlignment="1">
      <alignment wrapText="1"/>
    </xf>
    <xf numFmtId="0" fontId="26" fillId="8" borderId="0" xfId="0" applyFont="1" applyFill="1" applyAlignment="1">
      <alignment wrapText="1"/>
    </xf>
    <xf numFmtId="0" fontId="24" fillId="8" borderId="2" xfId="0" applyFont="1" applyFill="1" applyBorder="1" applyAlignment="1">
      <alignment horizontal="left" vertical="top" wrapText="1"/>
    </xf>
    <xf numFmtId="0" fontId="26" fillId="0" borderId="0" xfId="0" applyFont="1" applyAlignment="1">
      <alignment wrapText="1"/>
    </xf>
  </cellXfs>
  <cellStyles count="4">
    <cellStyle name="Hyperlink" xfId="2" builtinId="8" customBuiltin="1"/>
    <cellStyle name="Hyperlink 2" xfId="3" xr:uid="{E7DF2CD7-1369-4878-B76A-A2C8659731C6}"/>
    <cellStyle name="Normal" xfId="0" builtinId="0"/>
    <cellStyle name="Percent" xfId="1" builtinId="5"/>
  </cellStyles>
  <dxfs count="36">
    <dxf>
      <font>
        <b/>
        <i val="0"/>
        <strike val="0"/>
      </font>
      <fill>
        <patternFill>
          <bgColor theme="9" tint="0.59996337778862885"/>
        </patternFill>
      </fill>
      <border>
        <left style="thin">
          <color auto="1"/>
        </left>
        <right style="thin">
          <color auto="1"/>
        </right>
        <top style="thin">
          <color auto="1"/>
        </top>
        <bottom style="thin">
          <color auto="1"/>
        </bottom>
        <vertical/>
        <horizontal/>
      </border>
    </dxf>
    <dxf>
      <font>
        <b/>
        <i val="0"/>
        <color rgb="FF4C3800"/>
      </font>
      <fill>
        <patternFill patternType="solid">
          <bgColor theme="7" tint="0.39991454817346722"/>
        </patternFill>
      </fill>
      <border>
        <left style="dashDot">
          <color auto="1"/>
        </left>
        <right style="dashDot">
          <color auto="1"/>
        </right>
        <top style="dashDot">
          <color auto="1"/>
        </top>
        <bottom style="dashDot">
          <color auto="1"/>
        </bottom>
        <vertical/>
        <horizontal/>
      </border>
    </dxf>
    <dxf>
      <font>
        <b/>
        <i val="0"/>
      </font>
      <fill>
        <patternFill>
          <bgColor rgb="FFFD5555"/>
        </patternFill>
      </fill>
      <border>
        <left style="hair">
          <color auto="1"/>
        </left>
        <right style="hair">
          <color auto="1"/>
        </right>
        <top style="hair">
          <color auto="1"/>
        </top>
        <bottom style="hair">
          <color auto="1"/>
        </bottom>
        <vertical/>
        <horizontal/>
      </border>
    </dxf>
    <dxf>
      <font>
        <b/>
        <i val="0"/>
        <color theme="1"/>
      </font>
      <fill>
        <patternFill>
          <fgColor theme="9" tint="0.39994506668294322"/>
        </patternFill>
      </fill>
    </dxf>
    <dxf>
      <font>
        <color theme="0"/>
      </font>
      <fill>
        <patternFill>
          <bgColor theme="0"/>
        </patternFill>
      </fill>
    </dxf>
    <dxf>
      <font>
        <b/>
        <i val="0"/>
        <color theme="1"/>
      </font>
      <fill>
        <patternFill>
          <bgColor theme="9" tint="0.39994506668294322"/>
        </patternFill>
      </fill>
    </dxf>
    <dxf>
      <font>
        <b/>
        <i val="0"/>
        <color theme="1"/>
      </font>
      <fill>
        <patternFill>
          <bgColor rgb="FFCFC483"/>
        </patternFill>
      </fill>
    </dxf>
    <dxf>
      <font>
        <b/>
        <i val="0"/>
        <color theme="1"/>
      </font>
      <fill>
        <patternFill>
          <bgColor rgb="FFFF412D"/>
        </patternFill>
      </fill>
    </dxf>
    <dxf>
      <font>
        <b/>
        <i val="0"/>
        <color theme="1"/>
      </font>
      <fill>
        <patternFill>
          <bgColor rgb="FFFFFF00"/>
        </patternFill>
      </fill>
    </dxf>
    <dxf>
      <font>
        <b/>
        <i val="0"/>
        <color theme="1"/>
      </font>
      <fill>
        <patternFill>
          <bgColor rgb="FFFFC000"/>
        </patternFill>
      </fill>
    </dxf>
    <dxf>
      <font>
        <b/>
        <i val="0"/>
        <color theme="1"/>
      </font>
      <fill>
        <patternFill>
          <bgColor rgb="FFFFFF00"/>
        </patternFill>
      </fil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strike val="0"/>
        <outline val="0"/>
        <shadow val="0"/>
        <vertAlign val="baseline"/>
        <sz val="12"/>
        <name val="Arial"/>
        <family val="2"/>
        <scheme val="none"/>
      </font>
      <alignment horizontal="left" vertical="top" textRotation="0" wrapText="1" indent="0" justifyLastLine="0" shrinkToFit="0" readingOrder="0"/>
    </dxf>
    <dxf>
      <font>
        <strike val="0"/>
        <outline val="0"/>
        <shadow val="0"/>
        <vertAlign val="baseline"/>
        <sz val="12"/>
        <name val="Arial"/>
        <family val="2"/>
        <scheme val="none"/>
      </font>
      <alignment horizontal="left" vertical="top" textRotation="0" wrapText="1" indent="0" justifyLastLine="0" shrinkToFit="0" readingOrder="0"/>
    </dxf>
    <dxf>
      <font>
        <strike val="0"/>
        <outline val="0"/>
        <shadow val="0"/>
        <vertAlign val="baseline"/>
        <sz val="12"/>
        <name val="Arial"/>
        <family val="2"/>
        <scheme val="none"/>
      </font>
      <alignment horizontal="left" vertical="top" textRotation="0" wrapText="1" indent="0" justifyLastLine="0" shrinkToFit="0" readingOrder="0"/>
    </dxf>
    <dxf>
      <font>
        <strike val="0"/>
        <outline val="0"/>
        <shadow val="0"/>
        <vertAlign val="baseline"/>
        <sz val="12"/>
        <name val="Arial"/>
        <family val="2"/>
        <scheme val="none"/>
      </font>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FC483"/>
      <color rgb="FF71924C"/>
      <color rgb="FF3EA053"/>
      <color rgb="FF003057"/>
      <color rgb="FFFF412D"/>
      <color rgb="FFFD5555"/>
      <color rgb="FF4C3800"/>
      <color rgb="FF636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5DB229-E168-1247-99B8-D8F67E2FA882}" name="Master_Issue_Tracker" displayName="Master_Issue_Tracker" ref="A1:L6" totalsRowShown="0" headerRowDxfId="35" dataDxfId="34">
  <autoFilter ref="A1:L6" xr:uid="{40F944EA-9A15-D048-9665-64FA206F0962}"/>
  <sortState xmlns:xlrd2="http://schemas.microsoft.com/office/spreadsheetml/2017/richdata2" ref="A2:L2">
    <sortCondition ref="C1:C2"/>
  </sortState>
  <tableColumns count="12">
    <tableColumn id="1" xr3:uid="{5F132C62-8CBF-2C49-B693-BE7711178F90}" name="Issue Name" dataDxfId="33"/>
    <tableColumn id="9" xr3:uid="{74799671-3DBE-43A5-ABB6-ECF6563B8718}" name="WCAG Success Criteria" dataDxfId="32"/>
    <tableColumn id="2" xr3:uid="{0FF59E5D-5DC9-B445-9020-ACFC3D7C6A2C}" name="Severity Level" dataDxfId="31"/>
    <tableColumn id="3" xr3:uid="{880F442D-161D-0D43-97A8-4BABA97ADAC8}" name="Actual Result" dataDxfId="30"/>
    <tableColumn id="5" xr3:uid="{42AFBB05-92FA-437B-8D2A-E1D34D3EAA5E}" name="Expected Result" dataDxfId="29"/>
    <tableColumn id="4" xr3:uid="{80AE06ED-2114-4C24-ABF6-C204638B79D0}" name="Student Impact" dataDxfId="28"/>
    <tableColumn id="6" xr3:uid="{4DF82730-9022-44D6-BD1B-57730BAA5D55}" name="Recommendation" dataDxfId="27"/>
    <tableColumn id="10" xr3:uid="{287FFC3A-9BBE-4560-929B-960A2E1EDABB}" name="Issue Persistence" dataDxfId="26"/>
    <tableColumn id="8" xr3:uid="{E2B3323E-60E4-0649-B2B6-FF3503DDCD2C}" name="Detection Method" dataDxfId="25"/>
    <tableColumn id="7" xr3:uid="{27B6555F-3C72-2B4A-888F-AA04A913950A}" name="Location in Asset" dataDxfId="24"/>
    <tableColumn id="14" xr3:uid="{A4708BA2-F14E-44BE-8485-2220167C6627}" name="Example" dataDxfId="23" dataCellStyle="Hyperlink"/>
    <tableColumn id="13" xr3:uid="{0BB7978E-8595-401D-8C8A-4BF7EC33FC53}" name="Note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C5F954-DB67-4E1C-82AE-58B900D4BB72}" name="Table1" displayName="Table1" ref="A1:B3" totalsRowShown="0" headerRowDxfId="21" dataDxfId="20">
  <autoFilter ref="A1:B3" xr:uid="{1FC5F954-DB67-4E1C-82AE-58B900D4BB72}"/>
  <tableColumns count="2">
    <tableColumn id="2" xr3:uid="{453489D9-88B2-4A6B-BD62-282DF71600E8}" name="Issue Name" dataDxfId="19"/>
    <tableColumn id="3" xr3:uid="{7CACE409-D05B-49DC-8CB8-62B8DB48F84E}" name="Examp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2DD6BD-9BAA-4AF6-9099-68410BBB7B88}" name="Table3" displayName="Table3" ref="A2:B19" totalsRowShown="0" headerRowDxfId="17" dataDxfId="16">
  <autoFilter ref="A2:B19" xr:uid="{FA2DD6BD-9BAA-4AF6-9099-68410BBB7B88}"/>
  <tableColumns count="2">
    <tableColumn id="1" xr3:uid="{FA409B4D-ED63-41B1-BCA6-680DE58D1281}" name="Browser or Tool" dataDxfId="15"/>
    <tableColumn id="2" xr3:uid="{D436CA63-A667-4643-9B8C-D08D74C1E9C6}" name="Version"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3E48A0-82BD-40B1-B089-7B250759FCD1}" name="Table4" displayName="Table4" ref="A1:A56" totalsRowShown="0" headerRowDxfId="13" dataDxfId="12">
  <autoFilter ref="A1:A56" xr:uid="{873E48A0-82BD-40B1-B089-7B250759FCD1}"/>
  <sortState xmlns:xlrd2="http://schemas.microsoft.com/office/spreadsheetml/2017/richdata2" ref="A2:A56">
    <sortCondition ref="A1:A56"/>
  </sortState>
  <tableColumns count="1">
    <tableColumn id="1" xr3:uid="{0E645AE7-8251-4362-8133-DA33C57016C0}" name="WCAG Criterion"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gu.percipio.com/videos/1248451b-be9d-4e83-bc15-cf576430d220"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table" Target="../tables/table4.xm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9CA52-5A94-423C-94B3-1396F109AD6C}">
  <sheetPr codeName="Sheet1">
    <tabColor theme="5" tint="-0.499984740745262"/>
  </sheetPr>
  <dimension ref="A1:K31"/>
  <sheetViews>
    <sheetView workbookViewId="0">
      <selection activeCell="B8" sqref="B8"/>
    </sheetView>
  </sheetViews>
  <sheetFormatPr defaultColWidth="8.85546875" defaultRowHeight="15"/>
  <cols>
    <col min="1" max="1" width="24.140625" style="2" customWidth="1"/>
    <col min="2" max="2" width="75.28515625" style="2" customWidth="1"/>
    <col min="3" max="8" width="10.7109375" style="2" customWidth="1"/>
    <col min="9" max="10" width="8.85546875" style="2"/>
    <col min="11" max="11" width="11" style="2" bestFit="1" customWidth="1"/>
    <col min="12" max="16384" width="8.85546875" style="2"/>
  </cols>
  <sheetData>
    <row r="1" spans="1:11" ht="27" thickTop="1">
      <c r="A1" s="67" t="s">
        <v>0</v>
      </c>
      <c r="B1" s="68"/>
      <c r="C1" s="4"/>
      <c r="D1" s="4"/>
      <c r="E1" s="4"/>
      <c r="F1" s="4"/>
      <c r="G1" s="4"/>
      <c r="H1" s="4"/>
      <c r="I1" s="10"/>
      <c r="J1" s="10"/>
      <c r="K1" s="10"/>
    </row>
    <row r="2" spans="1:11" ht="18">
      <c r="A2" s="69" t="s">
        <v>112</v>
      </c>
      <c r="B2" s="70"/>
      <c r="C2" s="5"/>
      <c r="D2" s="5"/>
      <c r="E2" s="5"/>
      <c r="F2" s="5"/>
      <c r="G2" s="5"/>
      <c r="H2" s="5"/>
      <c r="I2" s="10"/>
      <c r="J2" s="10"/>
      <c r="K2" s="10"/>
    </row>
    <row r="3" spans="1:11" ht="15.75">
      <c r="A3" s="49"/>
      <c r="B3" s="50"/>
      <c r="C3" s="10"/>
      <c r="D3" s="10"/>
      <c r="E3" s="10"/>
      <c r="F3" s="10"/>
      <c r="G3" s="10"/>
      <c r="H3" s="10"/>
      <c r="I3" s="10"/>
      <c r="J3" s="10"/>
      <c r="K3" s="10"/>
    </row>
    <row r="4" spans="1:11" ht="15.75">
      <c r="A4" s="49"/>
      <c r="B4" s="50"/>
      <c r="C4" s="10"/>
      <c r="D4" s="10"/>
      <c r="E4" s="10"/>
      <c r="F4" s="10"/>
      <c r="G4" s="10"/>
      <c r="H4" s="10"/>
      <c r="I4" s="10"/>
      <c r="J4" s="10"/>
      <c r="K4" s="10"/>
    </row>
    <row r="5" spans="1:11" ht="15.75">
      <c r="A5" s="51" t="s">
        <v>1</v>
      </c>
      <c r="B5" s="52" t="s">
        <v>114</v>
      </c>
      <c r="C5" s="12"/>
      <c r="D5" s="12"/>
      <c r="E5" s="12"/>
      <c r="F5" s="12"/>
      <c r="G5" s="12"/>
      <c r="H5" s="12"/>
      <c r="I5" s="10"/>
      <c r="J5" s="10"/>
      <c r="K5" s="13"/>
    </row>
    <row r="6" spans="1:11" ht="15.75">
      <c r="A6" s="51" t="s">
        <v>2</v>
      </c>
      <c r="B6" s="65" t="s">
        <v>209</v>
      </c>
      <c r="D6" s="12"/>
      <c r="E6" s="12"/>
      <c r="F6" s="12"/>
      <c r="G6" s="12"/>
      <c r="H6" s="12"/>
      <c r="I6" s="10"/>
      <c r="J6" s="10"/>
      <c r="K6" s="13"/>
    </row>
    <row r="7" spans="1:11" ht="15.75">
      <c r="A7" s="51" t="s">
        <v>113</v>
      </c>
      <c r="B7" s="53" t="s">
        <v>125</v>
      </c>
      <c r="C7" s="12"/>
      <c r="D7" s="12"/>
      <c r="E7" s="12"/>
      <c r="F7" s="12"/>
      <c r="G7" s="12"/>
      <c r="H7" s="12"/>
      <c r="I7" s="10"/>
      <c r="J7" s="10"/>
      <c r="K7" s="13"/>
    </row>
    <row r="8" spans="1:11" ht="30.75" thickBot="1">
      <c r="A8" s="51" t="s">
        <v>3</v>
      </c>
      <c r="B8" s="66" t="s">
        <v>210</v>
      </c>
      <c r="C8" s="3"/>
      <c r="D8" s="3"/>
      <c r="E8" s="3"/>
      <c r="F8" s="3"/>
      <c r="G8" s="3"/>
      <c r="H8" s="3"/>
      <c r="I8" s="10"/>
      <c r="J8" s="10"/>
      <c r="K8" s="13"/>
    </row>
    <row r="9" spans="1:11" ht="15.75">
      <c r="A9" s="51" t="s">
        <v>4</v>
      </c>
      <c r="B9" s="54">
        <v>45554</v>
      </c>
      <c r="C9" s="14"/>
      <c r="D9" s="12"/>
      <c r="E9" s="12"/>
      <c r="F9" s="12"/>
      <c r="G9" s="12"/>
      <c r="H9" s="12"/>
      <c r="I9" s="10"/>
      <c r="J9" s="10"/>
      <c r="K9" s="13"/>
    </row>
    <row r="10" spans="1:11" ht="15.75">
      <c r="A10" s="55" t="s">
        <v>5</v>
      </c>
      <c r="B10" s="56" t="s">
        <v>126</v>
      </c>
      <c r="C10" s="14"/>
      <c r="D10" s="12"/>
      <c r="E10" s="12"/>
      <c r="F10" s="12"/>
      <c r="G10" s="12"/>
      <c r="H10" s="12"/>
      <c r="I10" s="10"/>
      <c r="J10" s="10"/>
      <c r="K10" s="13"/>
    </row>
    <row r="11" spans="1:11" ht="60">
      <c r="A11" s="55" t="s">
        <v>6</v>
      </c>
      <c r="B11" s="52" t="s">
        <v>187</v>
      </c>
      <c r="C11" s="14"/>
      <c r="D11" s="12"/>
      <c r="E11" s="12"/>
      <c r="F11" s="12"/>
      <c r="G11" s="12"/>
      <c r="H11" s="12"/>
      <c r="I11" s="10"/>
      <c r="J11" s="10"/>
      <c r="K11" s="13"/>
    </row>
    <row r="12" spans="1:11" ht="15.75">
      <c r="A12" s="51" t="s">
        <v>7</v>
      </c>
      <c r="B12" s="52" t="s">
        <v>166</v>
      </c>
      <c r="C12" s="12"/>
      <c r="D12" s="12"/>
      <c r="E12" s="12"/>
      <c r="F12" s="12"/>
      <c r="G12" s="12"/>
      <c r="H12" s="12"/>
      <c r="I12" s="10"/>
      <c r="J12" s="10"/>
      <c r="K12" s="15"/>
    </row>
    <row r="13" spans="1:11" ht="15.75">
      <c r="A13" s="51" t="s">
        <v>8</v>
      </c>
      <c r="B13" s="57">
        <f>COUNTIF('Issue List'!C:C,"Critical")</f>
        <v>5</v>
      </c>
      <c r="C13" s="12"/>
      <c r="D13" s="12"/>
      <c r="E13" s="12"/>
      <c r="F13" s="12"/>
      <c r="G13" s="12"/>
      <c r="H13" s="12"/>
      <c r="I13" s="10"/>
      <c r="J13" s="10"/>
      <c r="K13" s="10"/>
    </row>
    <row r="14" spans="1:11" ht="15.75">
      <c r="A14" s="51" t="s">
        <v>9</v>
      </c>
      <c r="B14" s="57">
        <f>COUNTIF('Issue List'!C:C,"Significant")</f>
        <v>4</v>
      </c>
      <c r="C14" s="12"/>
      <c r="D14" s="12"/>
      <c r="E14" s="12"/>
      <c r="F14" s="12"/>
      <c r="G14" s="12"/>
      <c r="H14" s="12"/>
      <c r="I14" s="10"/>
      <c r="J14" s="10"/>
      <c r="K14" s="10"/>
    </row>
    <row r="15" spans="1:11" ht="16.5" thickBot="1">
      <c r="A15" s="58" t="s">
        <v>10</v>
      </c>
      <c r="B15" s="59">
        <f>COUNTIF('Issue List'!C:C,"Minor")</f>
        <v>5</v>
      </c>
      <c r="C15" s="10"/>
      <c r="D15" s="10"/>
      <c r="E15" s="10"/>
      <c r="F15" s="10"/>
      <c r="G15" s="10"/>
      <c r="H15" s="10"/>
      <c r="I15" s="10"/>
      <c r="J15" s="10"/>
      <c r="K15" s="10"/>
    </row>
    <row r="16" spans="1:11" ht="16.5" thickTop="1">
      <c r="A16" s="10"/>
      <c r="B16" s="6"/>
      <c r="C16" s="6"/>
      <c r="D16" s="6"/>
      <c r="E16" s="10"/>
      <c r="F16" s="6"/>
      <c r="G16" s="6"/>
      <c r="H16" s="6"/>
      <c r="I16" s="10"/>
      <c r="J16" s="10"/>
      <c r="K16" s="10"/>
    </row>
    <row r="17" spans="1:11">
      <c r="A17" s="10"/>
      <c r="B17" s="10"/>
      <c r="C17" s="16"/>
      <c r="D17" s="16"/>
      <c r="E17" s="10"/>
      <c r="F17" s="16"/>
      <c r="G17" s="16"/>
      <c r="H17" s="16"/>
      <c r="I17" s="10"/>
      <c r="J17" s="10"/>
      <c r="K17" s="10"/>
    </row>
    <row r="18" spans="1:11">
      <c r="B18" s="10"/>
      <c r="C18" s="16"/>
      <c r="D18" s="16"/>
      <c r="E18" s="10"/>
      <c r="F18" s="16"/>
      <c r="G18" s="16"/>
      <c r="H18" s="16"/>
    </row>
    <row r="19" spans="1:11">
      <c r="B19" s="10"/>
      <c r="C19" s="16"/>
      <c r="D19" s="16"/>
      <c r="E19" s="10"/>
      <c r="F19" s="16"/>
      <c r="G19" s="16"/>
      <c r="H19" s="16"/>
    </row>
    <row r="20" spans="1:11">
      <c r="B20" s="10"/>
      <c r="C20" s="16"/>
      <c r="D20" s="16"/>
      <c r="E20" s="16"/>
      <c r="F20" s="16"/>
      <c r="G20" s="16"/>
      <c r="H20" s="16"/>
    </row>
    <row r="21" spans="1:11">
      <c r="B21" s="10"/>
      <c r="C21" s="16"/>
      <c r="D21" s="16"/>
      <c r="E21" s="16"/>
      <c r="F21" s="16"/>
      <c r="G21" s="16"/>
      <c r="H21" s="16"/>
    </row>
    <row r="22" spans="1:11">
      <c r="B22" s="10"/>
      <c r="C22" s="16"/>
      <c r="D22" s="16"/>
      <c r="E22" s="16"/>
      <c r="F22" s="16"/>
      <c r="G22" s="16"/>
      <c r="H22" s="16"/>
    </row>
    <row r="23" spans="1:11">
      <c r="B23" s="10"/>
      <c r="C23" s="16"/>
      <c r="D23" s="16"/>
      <c r="E23" s="16"/>
      <c r="F23" s="16"/>
      <c r="G23" s="16"/>
      <c r="H23" s="16"/>
    </row>
    <row r="24" spans="1:11">
      <c r="B24" s="10"/>
      <c r="C24" s="16"/>
      <c r="D24" s="16"/>
      <c r="E24" s="16"/>
      <c r="F24" s="16"/>
      <c r="G24" s="16"/>
      <c r="H24" s="16"/>
    </row>
    <row r="25" spans="1:11">
      <c r="B25" s="10"/>
      <c r="C25" s="16"/>
      <c r="D25" s="16"/>
      <c r="E25" s="16"/>
      <c r="F25" s="16"/>
      <c r="G25" s="16"/>
      <c r="H25" s="16"/>
    </row>
    <row r="26" spans="1:11">
      <c r="B26" s="10"/>
      <c r="C26" s="16"/>
      <c r="D26" s="16"/>
      <c r="E26" s="16"/>
      <c r="F26" s="16"/>
      <c r="G26" s="16"/>
      <c r="H26" s="16"/>
    </row>
    <row r="27" spans="1:11">
      <c r="B27" s="10"/>
      <c r="C27" s="16"/>
      <c r="D27" s="16"/>
      <c r="E27" s="16"/>
      <c r="F27" s="16"/>
      <c r="G27" s="16"/>
      <c r="H27" s="16"/>
    </row>
    <row r="28" spans="1:11">
      <c r="B28" s="10"/>
      <c r="C28" s="16"/>
      <c r="D28" s="16"/>
      <c r="E28" s="16"/>
      <c r="F28" s="16"/>
      <c r="G28" s="16"/>
      <c r="H28" s="16"/>
    </row>
    <row r="29" spans="1:11">
      <c r="B29" s="10"/>
      <c r="C29" s="16"/>
      <c r="D29" s="16"/>
      <c r="E29" s="16"/>
      <c r="F29" s="16"/>
      <c r="G29" s="16"/>
      <c r="H29" s="16"/>
    </row>
    <row r="30" spans="1:11">
      <c r="B30" s="10"/>
      <c r="C30" s="16"/>
      <c r="D30" s="16"/>
      <c r="E30" s="16"/>
      <c r="F30" s="16"/>
      <c r="G30" s="16"/>
      <c r="H30" s="16"/>
    </row>
    <row r="31" spans="1:11">
      <c r="B31" s="10"/>
      <c r="C31" s="16"/>
      <c r="D31" s="16"/>
      <c r="E31" s="16"/>
      <c r="F31" s="16"/>
      <c r="G31" s="16"/>
      <c r="H31" s="16"/>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6" operator="containsText" text="Minor Remediation">
      <formula>NOT(ISERROR(SEARCH("Minor Remediation",B10)))</formula>
    </cfRule>
    <cfRule type="containsText" dxfId="5" priority="7" operator="containsText" text="No Remediation">
      <formula>NOT(ISERROR(SEARCH("No Remediation",B10)))</formula>
    </cfRule>
    <cfRule type="containsText" dxfId="4" priority="8" operator="containsText" text="Blank">
      <formula>NOT(ISERROR(SEARCH("Blank",B10)))</formula>
    </cfRule>
    <cfRule type="containsText" dxfId="3" priority="9" operator="containsText" text="Approved">
      <formula>NOT(ISERROR(SEARCH("Approved",B10)))</formula>
    </cfRule>
    <cfRule type="cellIs" dxfId="2" priority="10" operator="equal">
      <formula>"Not Approved"</formula>
    </cfRule>
    <cfRule type="cellIs" dxfId="1" priority="11" operator="equal">
      <formula>"Conditionally Approved"</formula>
    </cfRule>
    <cfRule type="cellIs" dxfId="0" priority="12" operator="equal">
      <formula>"Approved"</formula>
    </cfRule>
  </conditionalFormatting>
  <dataValidations count="2">
    <dataValidation type="list" allowBlank="1" showInputMessage="1" showErrorMessage="1" promptTitle="Select a Status" sqref="B10" xr:uid="{23D71950-4AB0-433D-B36D-17E150B71ADE}">
      <formula1>"Select a Status, No Remediation, Minor Remediation, Moderate Remediation, Extensive Remediation"</formula1>
    </dataValidation>
    <dataValidation type="list" allowBlank="1" showInputMessage="1" showErrorMessage="1" sqref="B7" xr:uid="{1011744A-9C25-4B42-8F13-3D7153361C2B}">
      <formula1>"Select one, Excel, PDF, Webpage, Word Document, Video"</formula1>
    </dataValidation>
  </dataValidations>
  <hyperlinks>
    <hyperlink ref="B8" r:id="rId1" xr:uid="{E0C1EE84-5434-490E-B174-77C0B8CE1C50}"/>
  </hyperlinks>
  <pageMargins left="0.7" right="0.7" top="0.75" bottom="0.75" header="0.3" footer="0.3"/>
  <pageSetup orientation="portrait" horizontalDpi="100" verticalDpi="1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73E9-70BB-44F5-87C8-CA662144811E}">
  <sheetPr codeName="Sheet3">
    <tabColor theme="7" tint="0.59999389629810485"/>
  </sheetPr>
  <dimension ref="A1:AB15"/>
  <sheetViews>
    <sheetView tabSelected="1" topLeftCell="A10" zoomScaleNormal="100" workbookViewId="0">
      <selection activeCell="B18" sqref="B18"/>
    </sheetView>
  </sheetViews>
  <sheetFormatPr defaultColWidth="9.140625" defaultRowHeight="15.75" customHeight="1"/>
  <cols>
    <col min="1" max="1" width="45.140625" style="1" bestFit="1" customWidth="1"/>
    <col min="2" max="2" width="23.7109375" bestFit="1" customWidth="1"/>
    <col min="3" max="3" width="15.28515625" style="1" customWidth="1"/>
    <col min="4" max="4" width="60" style="1" customWidth="1"/>
    <col min="5" max="5" width="51.7109375" style="1" bestFit="1" customWidth="1"/>
    <col min="6" max="6" width="46.5703125" style="1" bestFit="1" customWidth="1"/>
    <col min="7" max="7" width="45.7109375" style="1" bestFit="1" customWidth="1"/>
    <col min="8" max="8" width="7.7109375" bestFit="1" customWidth="1"/>
    <col min="9" max="9" width="18.85546875" customWidth="1"/>
    <col min="10" max="10" width="43.5703125" style="1" customWidth="1"/>
    <col min="11" max="11" width="13" style="1" bestFit="1" customWidth="1"/>
    <col min="12" max="12" width="10" bestFit="1" customWidth="1"/>
    <col min="13" max="13" width="22.140625" bestFit="1" customWidth="1"/>
    <col min="14" max="14" width="18.85546875" style="1" bestFit="1" customWidth="1"/>
    <col min="15" max="15" width="27.7109375" customWidth="1"/>
    <col min="16" max="16" width="18.85546875" style="1" bestFit="1" customWidth="1"/>
    <col min="17" max="17" width="16.85546875" style="1" bestFit="1" customWidth="1"/>
    <col min="18" max="18" width="11.7109375" style="1" customWidth="1"/>
    <col min="19" max="16384" width="9.140625" style="1"/>
  </cols>
  <sheetData>
    <row r="1" spans="1:28" s="28" customFormat="1" ht="45">
      <c r="A1" s="32" t="s">
        <v>11</v>
      </c>
      <c r="B1" s="32" t="s">
        <v>12</v>
      </c>
      <c r="C1" s="32" t="s">
        <v>13</v>
      </c>
      <c r="D1" s="32" t="s">
        <v>14</v>
      </c>
      <c r="E1" s="32" t="s">
        <v>15</v>
      </c>
      <c r="F1" s="32" t="s">
        <v>16</v>
      </c>
      <c r="G1" s="32" t="s">
        <v>17</v>
      </c>
      <c r="H1" s="32" t="s">
        <v>18</v>
      </c>
      <c r="I1" s="32" t="s">
        <v>19</v>
      </c>
      <c r="J1" s="32" t="s">
        <v>20</v>
      </c>
      <c r="K1" s="32" t="s">
        <v>21</v>
      </c>
      <c r="L1" s="32" t="s">
        <v>22</v>
      </c>
      <c r="M1" s="32"/>
      <c r="N1" s="32"/>
      <c r="O1" s="32"/>
      <c r="P1" s="32"/>
      <c r="Q1" s="32"/>
      <c r="R1" s="32"/>
      <c r="S1" s="32"/>
    </row>
    <row r="2" spans="1:28" s="28" customFormat="1" ht="141">
      <c r="A2" s="35" t="s">
        <v>177</v>
      </c>
      <c r="B2" s="22" t="s">
        <v>47</v>
      </c>
      <c r="C2" s="23" t="s">
        <v>115</v>
      </c>
      <c r="D2" s="22" t="s">
        <v>169</v>
      </c>
      <c r="E2" s="23" t="s">
        <v>132</v>
      </c>
      <c r="F2" s="23" t="s">
        <v>133</v>
      </c>
      <c r="G2" s="22" t="s">
        <v>170</v>
      </c>
      <c r="H2" s="23" t="s">
        <v>116</v>
      </c>
      <c r="I2" s="23" t="s">
        <v>124</v>
      </c>
      <c r="J2" s="22" t="s">
        <v>134</v>
      </c>
      <c r="K2" s="24"/>
      <c r="L2" s="23"/>
      <c r="M2" s="29"/>
      <c r="O2" s="29"/>
    </row>
    <row r="3" spans="1:28" s="25" customFormat="1" ht="90">
      <c r="A3" s="36" t="s">
        <v>174</v>
      </c>
      <c r="B3" s="23" t="s">
        <v>53</v>
      </c>
      <c r="C3" s="25" t="s">
        <v>115</v>
      </c>
      <c r="D3" s="25" t="s">
        <v>179</v>
      </c>
      <c r="E3" s="26" t="s">
        <v>171</v>
      </c>
      <c r="F3" s="30" t="s">
        <v>175</v>
      </c>
      <c r="G3" s="26" t="s">
        <v>172</v>
      </c>
      <c r="H3" s="26" t="s">
        <v>122</v>
      </c>
      <c r="I3" s="26" t="s">
        <v>173</v>
      </c>
      <c r="J3" s="25" t="s">
        <v>198</v>
      </c>
      <c r="L3" s="33"/>
      <c r="M3" s="33"/>
      <c r="O3" s="33"/>
    </row>
    <row r="4" spans="1:28" s="34" customFormat="1" ht="195.75">
      <c r="A4" s="35" t="s">
        <v>146</v>
      </c>
      <c r="B4" s="23" t="s">
        <v>100</v>
      </c>
      <c r="C4" s="23" t="s">
        <v>121</v>
      </c>
      <c r="D4" s="22" t="s">
        <v>201</v>
      </c>
      <c r="E4" s="22" t="s">
        <v>135</v>
      </c>
      <c r="F4" s="23" t="s">
        <v>136</v>
      </c>
      <c r="G4" s="22" t="s">
        <v>140</v>
      </c>
      <c r="H4" s="23" t="s">
        <v>116</v>
      </c>
      <c r="I4" s="23" t="s">
        <v>137</v>
      </c>
      <c r="J4" s="22" t="s">
        <v>208</v>
      </c>
      <c r="K4" s="24"/>
      <c r="L4" s="23"/>
    </row>
    <row r="5" spans="1:28" s="28" customFormat="1" ht="75">
      <c r="A5" s="35" t="s">
        <v>180</v>
      </c>
      <c r="B5" s="23" t="s">
        <v>76</v>
      </c>
      <c r="C5" s="23" t="s">
        <v>121</v>
      </c>
      <c r="D5" s="22" t="s">
        <v>118</v>
      </c>
      <c r="E5" s="23" t="s">
        <v>119</v>
      </c>
      <c r="F5" s="23" t="s">
        <v>120</v>
      </c>
      <c r="G5" s="23" t="s">
        <v>130</v>
      </c>
      <c r="H5" s="23" t="s">
        <v>116</v>
      </c>
      <c r="I5" s="22" t="s">
        <v>117</v>
      </c>
      <c r="J5" s="22" t="s">
        <v>138</v>
      </c>
      <c r="K5" s="24"/>
      <c r="L5" s="23"/>
      <c r="M5" s="29"/>
      <c r="O5" s="29"/>
    </row>
    <row r="6" spans="1:28" s="42" customFormat="1" ht="75">
      <c r="A6" s="37" t="s">
        <v>127</v>
      </c>
      <c r="B6" s="38" t="s">
        <v>58</v>
      </c>
      <c r="C6" s="38" t="s">
        <v>115</v>
      </c>
      <c r="D6" s="39" t="s">
        <v>141</v>
      </c>
      <c r="E6" s="38" t="s">
        <v>128</v>
      </c>
      <c r="F6" s="38" t="s">
        <v>129</v>
      </c>
      <c r="G6" s="38" t="s">
        <v>131</v>
      </c>
      <c r="H6" s="38" t="s">
        <v>116</v>
      </c>
      <c r="I6" s="38" t="s">
        <v>117</v>
      </c>
      <c r="J6" s="39" t="s">
        <v>139</v>
      </c>
      <c r="K6" s="40"/>
      <c r="L6" s="38"/>
      <c r="M6" s="41"/>
      <c r="O6" s="41"/>
    </row>
    <row r="7" spans="1:28" s="28" customFormat="1" ht="90">
      <c r="A7" s="35" t="s">
        <v>186</v>
      </c>
      <c r="B7" s="23" t="s">
        <v>59</v>
      </c>
      <c r="C7" s="22" t="s">
        <v>121</v>
      </c>
      <c r="D7" s="22" t="s">
        <v>145</v>
      </c>
      <c r="E7" s="22" t="s">
        <v>142</v>
      </c>
      <c r="F7" s="22" t="s">
        <v>143</v>
      </c>
      <c r="G7" s="22" t="s">
        <v>144</v>
      </c>
      <c r="H7" s="27" t="s">
        <v>123</v>
      </c>
      <c r="I7" s="29" t="s">
        <v>147</v>
      </c>
      <c r="J7" s="22" t="s">
        <v>185</v>
      </c>
      <c r="L7" s="29"/>
      <c r="M7" s="29"/>
      <c r="O7" s="29"/>
    </row>
    <row r="8" spans="1:28" s="42" customFormat="1" ht="31.5">
      <c r="A8" s="37" t="s">
        <v>148</v>
      </c>
      <c r="B8" s="38" t="s">
        <v>67</v>
      </c>
      <c r="C8" s="39" t="s">
        <v>121</v>
      </c>
      <c r="D8" s="39" t="s">
        <v>183</v>
      </c>
      <c r="E8" s="39" t="s">
        <v>151</v>
      </c>
      <c r="F8" s="42" t="s">
        <v>149</v>
      </c>
      <c r="G8" s="42" t="s">
        <v>150</v>
      </c>
      <c r="H8" s="27" t="s">
        <v>122</v>
      </c>
      <c r="I8" s="41" t="s">
        <v>117</v>
      </c>
      <c r="J8" s="39" t="s">
        <v>184</v>
      </c>
      <c r="L8" s="41"/>
      <c r="M8" s="41"/>
      <c r="O8" s="41"/>
    </row>
    <row r="9" spans="1:28" s="28" customFormat="1" ht="105">
      <c r="A9" s="35" t="s">
        <v>181</v>
      </c>
      <c r="B9" s="23" t="s">
        <v>53</v>
      </c>
      <c r="C9" s="22" t="s">
        <v>191</v>
      </c>
      <c r="D9" s="22" t="s">
        <v>182</v>
      </c>
      <c r="E9" s="28" t="s">
        <v>153</v>
      </c>
      <c r="F9" s="31" t="s">
        <v>152</v>
      </c>
      <c r="G9" s="22" t="s">
        <v>154</v>
      </c>
      <c r="H9" s="27" t="s">
        <v>122</v>
      </c>
      <c r="I9" s="29" t="s">
        <v>124</v>
      </c>
      <c r="J9" s="22" t="s">
        <v>199</v>
      </c>
      <c r="L9" s="29"/>
      <c r="M9" s="29"/>
      <c r="O9" s="29"/>
    </row>
    <row r="10" spans="1:28" s="42" customFormat="1" ht="105">
      <c r="A10" s="37" t="s">
        <v>189</v>
      </c>
      <c r="B10" s="38" t="s">
        <v>67</v>
      </c>
      <c r="C10" s="39" t="s">
        <v>115</v>
      </c>
      <c r="D10" s="39" t="s">
        <v>188</v>
      </c>
      <c r="E10" s="42" t="s">
        <v>153</v>
      </c>
      <c r="F10" s="43" t="s">
        <v>152</v>
      </c>
      <c r="G10" s="39" t="s">
        <v>154</v>
      </c>
      <c r="H10" s="27" t="s">
        <v>122</v>
      </c>
      <c r="I10" s="41" t="s">
        <v>124</v>
      </c>
      <c r="J10" s="39" t="s">
        <v>211</v>
      </c>
      <c r="L10" s="41"/>
      <c r="M10" s="41"/>
      <c r="O10" s="41"/>
    </row>
    <row r="11" spans="1:28" s="28" customFormat="1" ht="75">
      <c r="A11" s="35" t="s">
        <v>155</v>
      </c>
      <c r="B11" s="23" t="s">
        <v>64</v>
      </c>
      <c r="C11" s="22" t="s">
        <v>121</v>
      </c>
      <c r="D11" s="22" t="s">
        <v>190</v>
      </c>
      <c r="E11" s="22" t="s">
        <v>156</v>
      </c>
      <c r="F11" s="31" t="s">
        <v>152</v>
      </c>
      <c r="G11" s="22" t="s">
        <v>157</v>
      </c>
      <c r="H11" s="27" t="s">
        <v>122</v>
      </c>
      <c r="I11" s="29" t="s">
        <v>158</v>
      </c>
      <c r="J11" s="22" t="s">
        <v>176</v>
      </c>
      <c r="L11" s="29"/>
      <c r="M11" s="29"/>
      <c r="O11" s="29"/>
    </row>
    <row r="12" spans="1:28" s="42" customFormat="1" ht="45">
      <c r="A12" s="37" t="s">
        <v>159</v>
      </c>
      <c r="B12" s="38" t="s">
        <v>53</v>
      </c>
      <c r="C12" s="39" t="s">
        <v>115</v>
      </c>
      <c r="D12" s="39" t="s">
        <v>160</v>
      </c>
      <c r="E12" s="39" t="s">
        <v>161</v>
      </c>
      <c r="F12" s="39" t="s">
        <v>162</v>
      </c>
      <c r="G12" s="39" t="s">
        <v>163</v>
      </c>
      <c r="H12" s="27" t="s">
        <v>116</v>
      </c>
      <c r="I12" s="41" t="s">
        <v>164</v>
      </c>
      <c r="J12" s="39" t="s">
        <v>165</v>
      </c>
      <c r="L12" s="41"/>
      <c r="M12" s="41"/>
      <c r="O12" s="41"/>
    </row>
    <row r="13" spans="1:28" s="48" customFormat="1" ht="63">
      <c r="A13" s="44" t="s">
        <v>192</v>
      </c>
      <c r="B13" s="45" t="s">
        <v>100</v>
      </c>
      <c r="C13" s="46" t="s">
        <v>191</v>
      </c>
      <c r="D13" s="46" t="s">
        <v>196</v>
      </c>
      <c r="E13" s="46" t="s">
        <v>197</v>
      </c>
      <c r="F13" s="46" t="s">
        <v>193</v>
      </c>
      <c r="G13" s="46" t="s">
        <v>194</v>
      </c>
      <c r="H13" s="46" t="s">
        <v>116</v>
      </c>
      <c r="I13" s="46" t="s">
        <v>195</v>
      </c>
      <c r="J13" s="46" t="s">
        <v>200</v>
      </c>
      <c r="K13" s="47"/>
      <c r="L13" s="47"/>
      <c r="M13" s="47"/>
      <c r="N13" s="47"/>
      <c r="O13" s="47"/>
      <c r="P13" s="47"/>
      <c r="Q13" s="47"/>
      <c r="R13" s="47"/>
      <c r="S13" s="47"/>
      <c r="T13" s="47"/>
      <c r="U13" s="47"/>
      <c r="V13" s="47"/>
      <c r="W13" s="47"/>
      <c r="X13" s="47"/>
      <c r="Y13" s="47"/>
      <c r="Z13" s="47"/>
      <c r="AA13" s="47"/>
      <c r="AB13" s="47"/>
    </row>
    <row r="14" spans="1:28" s="64" customFormat="1" ht="90.75">
      <c r="A14" s="60" t="s">
        <v>202</v>
      </c>
      <c r="B14" s="27" t="s">
        <v>76</v>
      </c>
      <c r="C14" s="61" t="s">
        <v>191</v>
      </c>
      <c r="D14" s="61" t="s">
        <v>203</v>
      </c>
      <c r="E14" s="61" t="s">
        <v>204</v>
      </c>
      <c r="F14" s="61" t="s">
        <v>205</v>
      </c>
      <c r="G14" s="61" t="s">
        <v>206</v>
      </c>
      <c r="H14" s="62" t="s">
        <v>116</v>
      </c>
      <c r="I14" s="63" t="s">
        <v>117</v>
      </c>
      <c r="J14" s="61" t="s">
        <v>207</v>
      </c>
      <c r="L14" s="62"/>
      <c r="M14" s="62"/>
      <c r="O14" s="62"/>
    </row>
    <row r="15" spans="1:28" ht="90.75">
      <c r="A15" s="72" t="s">
        <v>212</v>
      </c>
      <c r="B15" s="73" t="s">
        <v>76</v>
      </c>
      <c r="C15" s="74" t="s">
        <v>191</v>
      </c>
      <c r="D15" s="75" t="s">
        <v>213</v>
      </c>
      <c r="E15" s="75" t="s">
        <v>214</v>
      </c>
      <c r="F15" s="75" t="s">
        <v>215</v>
      </c>
      <c r="G15" s="75" t="s">
        <v>216</v>
      </c>
      <c r="H15" s="76" t="s">
        <v>116</v>
      </c>
      <c r="I15" s="77" t="s">
        <v>117</v>
      </c>
      <c r="J15" s="75" t="s">
        <v>217</v>
      </c>
      <c r="K15" s="75"/>
      <c r="L15" s="78"/>
      <c r="M15" s="78"/>
      <c r="N15" s="75"/>
      <c r="O15" s="78"/>
      <c r="P15" s="75"/>
      <c r="Q15" s="75"/>
      <c r="R15" s="75"/>
      <c r="S15" s="75"/>
      <c r="T15" s="75"/>
      <c r="U15" s="75"/>
      <c r="V15" s="75"/>
      <c r="W15" s="75"/>
      <c r="X15" s="75"/>
      <c r="Y15" s="75"/>
      <c r="Z15" s="75"/>
      <c r="AA15" s="75"/>
      <c r="AB15" s="75"/>
    </row>
  </sheetData>
  <dataValidations count="2">
    <dataValidation type="list" allowBlank="1" showInputMessage="1" showErrorMessage="1" promptTitle="Severity Level" prompt="Critical - Stops all progress_x000a_Significant - Interferes with progress_x000a_Minor - Annoyance" sqref="C2 C4:C11" xr:uid="{E513EAC3-761A-4769-9E23-5E97D68EECB2}">
      <formula1>"Minor, Significant, Critical"</formula1>
    </dataValidation>
    <dataValidation type="list" allowBlank="1" showInputMessage="1" showErrorMessage="1" promptTitle="Issue Persistence" prompt="Global - The entire product_x000a_Partial - Several instances_x000a_Single - A single instance" sqref="H2 H4:H12" xr:uid="{033D584A-8019-480E-853F-7A7A4005AB1C}">
      <formula1>"Global, Partial, Single"</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WCAG Success Criteria" prompt="Select all applicable criteria for each issue." xr:uid="{4F197AFF-DC73-404A-8A68-D46C4702DBF2}">
          <x14:formula1>
            <xm:f>'WCAG 2.2 A-AA'!$A$2:$A$56</xm:f>
          </x14:formula1>
          <xm:sqref>B2:B14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6B42-C611-4822-9D88-D83C6DFF2DEE}">
  <sheetPr codeName="Sheet4">
    <tabColor theme="4" tint="0.59999389629810485"/>
  </sheetPr>
  <dimension ref="A1:B3"/>
  <sheetViews>
    <sheetView workbookViewId="0">
      <selection activeCell="A2" sqref="A2:B4"/>
    </sheetView>
  </sheetViews>
  <sheetFormatPr defaultColWidth="9.140625" defaultRowHeight="15"/>
  <cols>
    <col min="1" max="1" width="60.140625" style="9" customWidth="1"/>
    <col min="2" max="2" width="112.7109375" style="9" customWidth="1"/>
    <col min="3" max="16384" width="9.140625" style="9"/>
  </cols>
  <sheetData>
    <row r="1" spans="1:2">
      <c r="A1" s="11" t="s">
        <v>11</v>
      </c>
      <c r="B1" s="11" t="s">
        <v>21</v>
      </c>
    </row>
    <row r="2" spans="1:2">
      <c r="A2" s="21"/>
      <c r="B2" s="20"/>
    </row>
    <row r="3" spans="1:2">
      <c r="A3" s="20"/>
      <c r="B3"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3CC1-0607-4D9B-87FB-2C400B45662F}">
  <sheetPr codeName="Sheet5">
    <tabColor theme="4" tint="-0.499984740745262"/>
  </sheetPr>
  <dimension ref="A1:B19"/>
  <sheetViews>
    <sheetView workbookViewId="0">
      <selection activeCell="B4" sqref="B4"/>
    </sheetView>
  </sheetViews>
  <sheetFormatPr defaultRowHeight="15"/>
  <cols>
    <col min="1" max="1" width="43.42578125" customWidth="1"/>
    <col min="2" max="2" width="26.28515625" customWidth="1"/>
  </cols>
  <sheetData>
    <row r="1" spans="1:2" ht="18">
      <c r="A1" s="71" t="s">
        <v>23</v>
      </c>
      <c r="B1" s="71"/>
    </row>
    <row r="2" spans="1:2">
      <c r="A2" s="17" t="s">
        <v>24</v>
      </c>
      <c r="B2" s="16" t="s">
        <v>25</v>
      </c>
    </row>
    <row r="3" spans="1:2">
      <c r="A3" s="18" t="s">
        <v>26</v>
      </c>
      <c r="B3" s="19" t="s">
        <v>178</v>
      </c>
    </row>
    <row r="4" spans="1:2">
      <c r="A4" s="18" t="s">
        <v>27</v>
      </c>
      <c r="B4" s="19"/>
    </row>
    <row r="5" spans="1:2">
      <c r="A5" s="18" t="s">
        <v>28</v>
      </c>
      <c r="B5" s="19" t="s">
        <v>167</v>
      </c>
    </row>
    <row r="6" spans="1:2">
      <c r="A6" s="18" t="s">
        <v>29</v>
      </c>
      <c r="B6" s="19" t="s">
        <v>104</v>
      </c>
    </row>
    <row r="7" spans="1:2">
      <c r="A7" s="18" t="s">
        <v>30</v>
      </c>
      <c r="B7" s="19" t="s">
        <v>105</v>
      </c>
    </row>
    <row r="8" spans="1:2">
      <c r="A8" s="18" t="s">
        <v>31</v>
      </c>
      <c r="B8" s="19" t="s">
        <v>168</v>
      </c>
    </row>
    <row r="9" spans="1:2" ht="15" customHeight="1">
      <c r="A9" s="18" t="s">
        <v>32</v>
      </c>
      <c r="B9" s="19" t="s">
        <v>107</v>
      </c>
    </row>
    <row r="10" spans="1:2">
      <c r="A10" s="18" t="s">
        <v>33</v>
      </c>
      <c r="B10" s="19" t="s">
        <v>34</v>
      </c>
    </row>
    <row r="11" spans="1:2">
      <c r="A11" s="18" t="s">
        <v>35</v>
      </c>
      <c r="B11" s="19" t="s">
        <v>36</v>
      </c>
    </row>
    <row r="12" spans="1:2">
      <c r="A12" s="18" t="s">
        <v>37</v>
      </c>
      <c r="B12" s="19" t="s">
        <v>38</v>
      </c>
    </row>
    <row r="13" spans="1:2">
      <c r="A13" s="18" t="s">
        <v>39</v>
      </c>
      <c r="B13" s="19" t="s">
        <v>106</v>
      </c>
    </row>
    <row r="14" spans="1:2">
      <c r="A14" s="18" t="s">
        <v>40</v>
      </c>
      <c r="B14" s="19" t="s">
        <v>41</v>
      </c>
    </row>
    <row r="15" spans="1:2">
      <c r="A15" s="18" t="s">
        <v>42</v>
      </c>
      <c r="B15" s="19" t="s">
        <v>108</v>
      </c>
    </row>
    <row r="16" spans="1:2">
      <c r="A16" s="18" t="s">
        <v>43</v>
      </c>
      <c r="B16" s="19" t="s">
        <v>109</v>
      </c>
    </row>
    <row r="17" spans="1:2">
      <c r="A17" s="18" t="s">
        <v>44</v>
      </c>
      <c r="B17" s="19" t="s">
        <v>110</v>
      </c>
    </row>
    <row r="18" spans="1:2">
      <c r="A18" s="18" t="s">
        <v>45</v>
      </c>
      <c r="B18" s="19" t="s">
        <v>111</v>
      </c>
    </row>
    <row r="19" spans="1:2">
      <c r="A19" s="19" t="s">
        <v>102</v>
      </c>
      <c r="B19" s="19" t="s">
        <v>103</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EDC85-82D3-4BD9-B9A7-4B5282941708}">
  <sheetPr codeName="Sheet6">
    <tabColor theme="4" tint="-0.499984740745262"/>
  </sheetPr>
  <dimension ref="A1:A56"/>
  <sheetViews>
    <sheetView workbookViewId="0">
      <selection activeCell="B53" sqref="B53"/>
    </sheetView>
  </sheetViews>
  <sheetFormatPr defaultRowHeight="15"/>
  <cols>
    <col min="1" max="1" width="63.140625" bestFit="1" customWidth="1"/>
  </cols>
  <sheetData>
    <row r="1" spans="1:1" ht="15.75">
      <c r="A1" s="11" t="s">
        <v>46</v>
      </c>
    </row>
    <row r="2" spans="1:1" ht="15.75">
      <c r="A2" s="8" t="s">
        <v>47</v>
      </c>
    </row>
    <row r="3" spans="1:1" ht="15.75">
      <c r="A3" s="8" t="s">
        <v>48</v>
      </c>
    </row>
    <row r="4" spans="1:1" ht="15.75">
      <c r="A4" s="8" t="s">
        <v>49</v>
      </c>
    </row>
    <row r="5" spans="1:1" ht="15.75">
      <c r="A5" s="8" t="s">
        <v>50</v>
      </c>
    </row>
    <row r="6" spans="1:1" ht="15.75">
      <c r="A6" s="8" t="s">
        <v>51</v>
      </c>
    </row>
    <row r="7" spans="1:1" ht="15.75">
      <c r="A7" s="8" t="s">
        <v>52</v>
      </c>
    </row>
    <row r="8" spans="1:1" ht="15.75">
      <c r="A8" s="8" t="s">
        <v>53</v>
      </c>
    </row>
    <row r="9" spans="1:1" ht="15.75">
      <c r="A9" s="8" t="s">
        <v>54</v>
      </c>
    </row>
    <row r="10" spans="1:1" ht="15.75">
      <c r="A10" s="8" t="s">
        <v>55</v>
      </c>
    </row>
    <row r="11" spans="1:1" ht="15.75">
      <c r="A11" s="8" t="s">
        <v>56</v>
      </c>
    </row>
    <row r="12" spans="1:1" ht="15.75">
      <c r="A12" s="8" t="s">
        <v>57</v>
      </c>
    </row>
    <row r="13" spans="1:1" ht="15.75">
      <c r="A13" s="8" t="s">
        <v>58</v>
      </c>
    </row>
    <row r="14" spans="1:1" ht="15.75">
      <c r="A14" s="8" t="s">
        <v>59</v>
      </c>
    </row>
    <row r="15" spans="1:1" ht="15.75">
      <c r="A15" s="8" t="s">
        <v>60</v>
      </c>
    </row>
    <row r="16" spans="1:1" ht="15.75">
      <c r="A16" s="8" t="s">
        <v>61</v>
      </c>
    </row>
    <row r="17" spans="1:1" ht="15.75">
      <c r="A17" s="8" t="s">
        <v>62</v>
      </c>
    </row>
    <row r="18" spans="1:1" ht="15.75">
      <c r="A18" s="8" t="s">
        <v>63</v>
      </c>
    </row>
    <row r="19" spans="1:1" ht="15.75">
      <c r="A19" s="8" t="s">
        <v>64</v>
      </c>
    </row>
    <row r="20" spans="1:1" ht="15.75">
      <c r="A20" s="8" t="s">
        <v>65</v>
      </c>
    </row>
    <row r="21" spans="1:1" ht="15.75">
      <c r="A21" s="8" t="s">
        <v>66</v>
      </c>
    </row>
    <row r="22" spans="1:1" ht="15.75">
      <c r="A22" s="8" t="s">
        <v>67</v>
      </c>
    </row>
    <row r="23" spans="1:1" ht="15.75">
      <c r="A23" s="8" t="s">
        <v>68</v>
      </c>
    </row>
    <row r="24" spans="1:1" ht="15.75">
      <c r="A24" s="8" t="s">
        <v>69</v>
      </c>
    </row>
    <row r="25" spans="1:1" ht="15.75">
      <c r="A25" s="8" t="s">
        <v>70</v>
      </c>
    </row>
    <row r="26" spans="1:1" ht="15.75">
      <c r="A26" s="8" t="s">
        <v>71</v>
      </c>
    </row>
    <row r="27" spans="1:1" ht="15.75">
      <c r="A27" s="8" t="s">
        <v>72</v>
      </c>
    </row>
    <row r="28" spans="1:1" ht="15.75">
      <c r="A28" s="8" t="s">
        <v>73</v>
      </c>
    </row>
    <row r="29" spans="1:1" ht="15.75">
      <c r="A29" s="8" t="s">
        <v>74</v>
      </c>
    </row>
    <row r="30" spans="1:1" ht="15.75">
      <c r="A30" s="8" t="s">
        <v>75</v>
      </c>
    </row>
    <row r="31" spans="1:1" ht="15.75">
      <c r="A31" s="8" t="s">
        <v>76</v>
      </c>
    </row>
    <row r="32" spans="1:1" ht="15.75">
      <c r="A32" s="8" t="s">
        <v>77</v>
      </c>
    </row>
    <row r="33" spans="1:1" ht="15.75">
      <c r="A33" s="8" t="s">
        <v>78</v>
      </c>
    </row>
    <row r="34" spans="1:1" ht="15.75">
      <c r="A34" s="8" t="s">
        <v>79</v>
      </c>
    </row>
    <row r="35" spans="1:1" ht="15.75">
      <c r="A35" s="8" t="s">
        <v>80</v>
      </c>
    </row>
    <row r="36" spans="1:1" ht="15.75">
      <c r="A36" s="8" t="s">
        <v>81</v>
      </c>
    </row>
    <row r="37" spans="1:1" ht="15.75">
      <c r="A37" s="8" t="s">
        <v>82</v>
      </c>
    </row>
    <row r="38" spans="1:1" ht="15.75">
      <c r="A38" s="8" t="s">
        <v>83</v>
      </c>
    </row>
    <row r="39" spans="1:1" ht="15.75">
      <c r="A39" s="8" t="s">
        <v>84</v>
      </c>
    </row>
    <row r="40" spans="1:1" ht="15.75">
      <c r="A40" s="8" t="s">
        <v>85</v>
      </c>
    </row>
    <row r="41" spans="1:1" ht="15.75">
      <c r="A41" s="8" t="s">
        <v>86</v>
      </c>
    </row>
    <row r="42" spans="1:1" ht="15.75">
      <c r="A42" s="8" t="s">
        <v>87</v>
      </c>
    </row>
    <row r="43" spans="1:1" ht="15.75">
      <c r="A43" s="8" t="s">
        <v>88</v>
      </c>
    </row>
    <row r="44" spans="1:1" ht="15.75">
      <c r="A44" s="8" t="s">
        <v>89</v>
      </c>
    </row>
    <row r="45" spans="1:1" ht="15.75">
      <c r="A45" s="8" t="s">
        <v>90</v>
      </c>
    </row>
    <row r="46" spans="1:1" ht="15.75">
      <c r="A46" s="8" t="s">
        <v>91</v>
      </c>
    </row>
    <row r="47" spans="1:1" ht="15.75">
      <c r="A47" s="8" t="s">
        <v>92</v>
      </c>
    </row>
    <row r="48" spans="1:1" ht="15.75">
      <c r="A48" s="8" t="s">
        <v>93</v>
      </c>
    </row>
    <row r="49" spans="1:1" ht="15.75">
      <c r="A49" s="8" t="s">
        <v>94</v>
      </c>
    </row>
    <row r="50" spans="1:1" ht="15.75">
      <c r="A50" s="8" t="s">
        <v>95</v>
      </c>
    </row>
    <row r="51" spans="1:1" ht="15.75">
      <c r="A51" s="8" t="s">
        <v>96</v>
      </c>
    </row>
    <row r="52" spans="1:1" s="8" customFormat="1">
      <c r="A52" s="8" t="s">
        <v>97</v>
      </c>
    </row>
    <row r="53" spans="1:1" ht="15.75">
      <c r="A53" s="8" t="s">
        <v>98</v>
      </c>
    </row>
    <row r="54" spans="1:1" ht="15.75">
      <c r="A54" s="8" t="s">
        <v>99</v>
      </c>
    </row>
    <row r="55" spans="1:1" ht="15.75">
      <c r="A55" s="8" t="s">
        <v>100</v>
      </c>
    </row>
    <row r="56" spans="1:1" ht="15.75">
      <c r="A56" s="8" t="s">
        <v>101</v>
      </c>
    </row>
  </sheetData>
  <hyperlinks>
    <hyperlink ref="A2" r:id="rId1" location="non-text-content" xr:uid="{E82F95A4-5FEC-4D3B-AF57-4C1EF2235B57}"/>
    <hyperlink ref="A3" r:id="rId2" location="audio-only-and-video-only-prerecorded" xr:uid="{2708EC90-AAE4-4E86-B9AB-E57A4127996B}"/>
    <hyperlink ref="A4" r:id="rId3" location="captions-prerecorded" xr:uid="{E926E74C-F434-418A-8EC2-B3F20A1D8006}"/>
    <hyperlink ref="A5" r:id="rId4" location="audio-description-or-media-alternative-prerecorded" xr:uid="{60C33E2A-D7BB-41DE-873F-B4D09C0340AD}"/>
    <hyperlink ref="A6" r:id="rId5" location="captions-live" xr:uid="{7442F950-1CF4-40D4-9D6D-CF280AC7C223}"/>
    <hyperlink ref="A7" r:id="rId6" location="audio-description-prerecorded" xr:uid="{29BFA488-8B00-4F2F-B299-A8BD890E9BEC}"/>
    <hyperlink ref="A8" r:id="rId7" location="info-and-relationships" xr:uid="{0A1D5F60-06A4-4D77-AD18-37EA0896127E}"/>
    <hyperlink ref="A9" r:id="rId8" location="meaningful-sequence" xr:uid="{E69F51A5-9DF3-48E3-997C-F6024993DC3F}"/>
    <hyperlink ref="A10" r:id="rId9" location="sensory-characteristics" xr:uid="{45E4EEBD-6355-4FD9-BA4F-827FEAB2D8CB}"/>
    <hyperlink ref="A11" r:id="rId10" location="orientation" xr:uid="{85C01B69-CEAD-426E-B08E-BC0F6BD4A8FF}"/>
    <hyperlink ref="A12" r:id="rId11" location="identify-input-purpose" xr:uid="{33570025-71E1-4AE0-82A2-1AFCFF99912B}"/>
    <hyperlink ref="A13" r:id="rId12" location="use-of-color" xr:uid="{CBD6261B-D7FA-48B5-B86D-78837F24000F}"/>
    <hyperlink ref="A18" r:id="rId13" location="audio-control" xr:uid="{ABC53AFB-FCBF-4D9A-A9B9-06C1D020F4AE}"/>
    <hyperlink ref="A19" r:id="rId14" location="contrast-minimum" xr:uid="{FDC52989-4395-4787-8DE3-43749A88476B}"/>
    <hyperlink ref="A20" r:id="rId15" location="resize-text" xr:uid="{29608CAF-0976-4213-AACC-6167CF30A6ED}"/>
    <hyperlink ref="A21" r:id="rId16" location="images-of-text" xr:uid="{E6B0B4F5-0558-476D-A437-1996D9E4A7BE}"/>
    <hyperlink ref="A14" r:id="rId17" location="reflow" xr:uid="{A13843F5-724F-43D9-91CE-9D675EBD06B5}"/>
    <hyperlink ref="A15" r:id="rId18" location="non-text-contrast" xr:uid="{3A1FD90D-925D-4417-9C5F-493C2FE57AB4}"/>
    <hyperlink ref="A16" r:id="rId19" location="text-spacing" xr:uid="{9DF3FE36-950A-4866-BEFF-A6D7D2A77731}"/>
    <hyperlink ref="A17" r:id="rId20" location="content-on-hover-or-focus" xr:uid="{B2F3DDC5-AE7D-4416-90ED-28108F49292D}"/>
    <hyperlink ref="A22" r:id="rId21" location="keyboard" xr:uid="{CBD690EE-3FD7-4126-BC26-A9DD6032AC56}"/>
    <hyperlink ref="A23" r:id="rId22" location="no-keyboard-trap" xr:uid="{69B825AB-5606-4FFF-A6EF-7EE177818460}"/>
    <hyperlink ref="A24" r:id="rId23" location="character-key-shortcuts" xr:uid="{CC34EB46-B751-4409-B1EE-2A6C02072C89}"/>
    <hyperlink ref="A25" r:id="rId24" location="timing-adjustable" xr:uid="{230248D9-3F2D-434A-81FD-C75FCEADF463}"/>
    <hyperlink ref="A26" r:id="rId25" location="pause-stop-hide" xr:uid="{8018F275-76F6-4AF3-8C6E-A42081C1AA78}"/>
    <hyperlink ref="A27" r:id="rId26" location="three-flashes-or-below-threshold" xr:uid="{400282E7-FD96-4A5B-AE82-E2FDE7A4DE6C}"/>
    <hyperlink ref="A28" r:id="rId27" location="bypass-blocks" xr:uid="{44880C07-676F-4282-8466-DD94AE6EC469}"/>
    <hyperlink ref="A30" r:id="rId28" location="page-titled" xr:uid="{A5F61E2A-4C2A-45EA-8CCD-304BAA18D752}"/>
    <hyperlink ref="A31" r:id="rId29" location="focus-order" xr:uid="{0DE3E141-4F05-4334-B338-872131F0D311}"/>
    <hyperlink ref="A32" r:id="rId30" location="link-purpose-in-context" xr:uid="{A90F4483-4A48-4559-BCB9-4095EDD56156}"/>
    <hyperlink ref="A33" r:id="rId31" location="multiple-ways" xr:uid="{FC0831E0-EF53-417A-998C-F683B82E6F1A}"/>
    <hyperlink ref="A34" r:id="rId32" location="headings-and-labels" xr:uid="{F4F32EE0-5046-42F3-9FDD-EFF63A229CC0}"/>
    <hyperlink ref="A35" r:id="rId33" location="focus-visible" xr:uid="{E83BC5F7-D451-4438-99E3-0BD052B569E5}"/>
    <hyperlink ref="A29" r:id="rId34" location="focus-not-obscured-minimum" xr:uid="{C36083E6-259E-4E7C-892E-5E82332921EF}"/>
    <hyperlink ref="A36" r:id="rId35" location="pointer-gestures" xr:uid="{1E3E4C53-9E53-465C-A198-DC0DC640A073}"/>
    <hyperlink ref="A37" r:id="rId36" location="pointer-cancellation" xr:uid="{B8547383-5D4C-435E-AD25-C33585FC2B8D}"/>
    <hyperlink ref="A38" r:id="rId37" location="label-in-name" xr:uid="{83D594E7-3E63-4FD1-A804-B5259FBE7508}"/>
    <hyperlink ref="A39" r:id="rId38" location="motion-actuation" xr:uid="{27226529-4A87-4544-AD2E-028C93782AAC}"/>
    <hyperlink ref="A40" r:id="rId39" location="dragging-movements" xr:uid="{0E993840-65B6-4EAD-9678-D60455FED923}"/>
    <hyperlink ref="A41" r:id="rId40" location="target-size-minimum" xr:uid="{4B5CC5AF-8AE2-4FC6-A443-8402EB664243}"/>
    <hyperlink ref="A42" r:id="rId41" location="language-of-page" xr:uid="{46223DD0-EEAD-4AC1-BD5C-9AA12FD32AD8}"/>
    <hyperlink ref="A43" r:id="rId42" location="language-of-parts" xr:uid="{60B324E0-E2D8-4103-AE6B-1F639C1B071A}"/>
    <hyperlink ref="A44" r:id="rId43" location="on-focus" xr:uid="{68EC6FF7-2271-41A4-990E-2E7A8CBB86E8}"/>
    <hyperlink ref="A45" r:id="rId44" location="on-input" xr:uid="{8C7036A3-4B27-4345-A731-EEC99F3FF6F0}"/>
    <hyperlink ref="A46" r:id="rId45" location="consistent-navigation" xr:uid="{6846FE44-1B80-4F39-B52B-75C9D0F2FDB5}"/>
    <hyperlink ref="A47" r:id="rId46" location="consistent-identification" xr:uid="{B8B20F5E-5D73-49ED-A771-F920833A2F5E}"/>
    <hyperlink ref="A48" r:id="rId47" location="consistent-help" xr:uid="{6614A74D-550E-400B-B780-54F3D60EB456}"/>
    <hyperlink ref="A49" r:id="rId48" location="error-identification" xr:uid="{25BA3BA2-9496-4ADF-A5C4-655FCA539350}"/>
    <hyperlink ref="A50" r:id="rId49" location="labels-or-instructions" xr:uid="{89700DD4-9DA8-4D11-B92E-BBE9BA5F981C}"/>
    <hyperlink ref="A51" r:id="rId50" location="error-suggestion" xr:uid="{BD7557A2-8938-45A0-A925-EF1F22F6F89D}"/>
    <hyperlink ref="A52" r:id="rId51" location="error-prevention-legal-financial-data" xr:uid="{D216B165-8F24-4354-A8C6-0D340AB190C6}"/>
    <hyperlink ref="A53" r:id="rId52" location="redundant-entry" xr:uid="{95E9692D-87AB-44EB-935C-B35103CE6403}"/>
    <hyperlink ref="A54" r:id="rId53" location="accessible-authentication-minimum" xr:uid="{D81206F6-13AD-4D6A-942C-59344F5EAAB4}"/>
    <hyperlink ref="A52:XFD52" r:id="rId54" location="name-role-value" display="4.1.2 Name, Role, Value (A)" xr:uid="{5329EA42-A1E9-457F-8630-DA103A581840}"/>
    <hyperlink ref="A56" r:id="rId55" location="status-messages" xr:uid="{94B8DF9E-F4E4-4213-B2B8-EDB04F8B11D6}"/>
  </hyperlinks>
  <pageMargins left="0.7" right="0.7" top="0.75" bottom="0.75" header="0.3" footer="0.3"/>
  <tableParts count="1">
    <tablePart r:id="rId5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87500F3657D74CBF050189AB045EBB" ma:contentTypeVersion="18" ma:contentTypeDescription="Create a new document." ma:contentTypeScope="" ma:versionID="7426d220f69b615140e7498b8476b412">
  <xsd:schema xmlns:xsd="http://www.w3.org/2001/XMLSchema" xmlns:xs="http://www.w3.org/2001/XMLSchema" xmlns:p="http://schemas.microsoft.com/office/2006/metadata/properties" xmlns:ns2="6136b370-9b09-4dfc-9b03-08bd01f60bbc" xmlns:ns3="a012520c-71f8-4b72-ada1-3c6aba3b7b8c" targetNamespace="http://schemas.microsoft.com/office/2006/metadata/properties" ma:root="true" ma:fieldsID="bdc5e56295a65ad51db03f49f0933321" ns2:_="" ns3:_="">
    <xsd:import namespace="6136b370-9b09-4dfc-9b03-08bd01f60bbc"/>
    <xsd:import namespace="a012520c-71f8-4b72-ada1-3c6aba3b7b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6b370-9b09-4dfc-9b03-08bd01f60bb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2520c-71f8-4b72-ada1-3c6aba3b7b8c"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a8779c9a-ea62-449c-a586-3b8813e78c07}" ma:internalName="TaxCatchAll" ma:showField="CatchAllData" ma:web="a012520c-71f8-4b72-ada1-3c6aba3b7b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36b370-9b09-4dfc-9b03-08bd01f60bbc">
      <Terms xmlns="http://schemas.microsoft.com/office/infopath/2007/PartnerControls"/>
    </lcf76f155ced4ddcb4097134ff3c332f>
    <TaxCatchAll xmlns="a012520c-71f8-4b72-ada1-3c6aba3b7b8c" xsi:nil="true"/>
    <SharedWithUsers xmlns="a012520c-71f8-4b72-ada1-3c6aba3b7b8c">
      <UserInfo>
        <DisplayName>Vennila Duraisamy</DisplayName>
        <AccountId>545</AccountId>
        <AccountType/>
      </UserInfo>
      <UserInfo>
        <DisplayName>Hannah Chipman</DisplayName>
        <AccountId>418</AccountId>
        <AccountType/>
      </UserInfo>
      <UserInfo>
        <DisplayName>Igor Shcherbinin</DisplayName>
        <AccountId>349</AccountId>
        <AccountType/>
      </UserInfo>
      <UserInfo>
        <DisplayName>Scott Boren</DisplayName>
        <AccountId>539</AccountId>
        <AccountType/>
      </UserInfo>
      <UserInfo>
        <DisplayName>Kristen Riquino</DisplayName>
        <AccountId>461</AccountId>
        <AccountType/>
      </UserInfo>
      <UserInfo>
        <DisplayName>Sangeetha Vinod</DisplayName>
        <AccountId>525</AccountId>
        <AccountType/>
      </UserInfo>
    </SharedWithUser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8C30B0-672C-4EC8-BF69-80DA4F78B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6b370-9b09-4dfc-9b03-08bd01f60bbc"/>
    <ds:schemaRef ds:uri="a012520c-71f8-4b72-ada1-3c6aba3b7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EFBCBB-9C9D-4F6B-8D5A-EDC7AF7105C7}">
  <ds:schemaRefs>
    <ds:schemaRef ds:uri="http://schemas.microsoft.com/office/2006/metadata/properties"/>
    <ds:schemaRef ds:uri="http://schemas.microsoft.com/office/infopath/2007/PartnerControls"/>
    <ds:schemaRef ds:uri="6136b370-9b09-4dfc-9b03-08bd01f60bbc"/>
    <ds:schemaRef ds:uri="a012520c-71f8-4b72-ada1-3c6aba3b7b8c"/>
  </ds:schemaRefs>
</ds:datastoreItem>
</file>

<file path=customXml/itemProps3.xml><?xml version="1.0" encoding="utf-8"?>
<ds:datastoreItem xmlns:ds="http://schemas.openxmlformats.org/officeDocument/2006/customXml" ds:itemID="{2EC37A89-75A8-40EB-B94D-EC17E5597BEF}">
  <ds:schemaRefs>
    <ds:schemaRef ds:uri="http://schemas.microsoft.com/DataMashup"/>
  </ds:schemaRefs>
</ds:datastoreItem>
</file>

<file path=customXml/itemProps4.xml><?xml version="1.0" encoding="utf-8"?>
<ds:datastoreItem xmlns:ds="http://schemas.openxmlformats.org/officeDocument/2006/customXml" ds:itemID="{B102B2AB-A0AC-4DEE-9D4F-A911258BB2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Jangam Mamilla</dc:creator>
  <cp:keywords>full; lreval</cp:keywords>
  <dc:description/>
  <cp:lastModifiedBy>Aakanksha Saini</cp:lastModifiedBy>
  <cp:revision/>
  <dcterms:created xsi:type="dcterms:W3CDTF">2020-01-24T16:17:30Z</dcterms:created>
  <dcterms:modified xsi:type="dcterms:W3CDTF">2024-09-19T12:16:31Z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0x0101002687500F3657D74CBF050189AB045EBB</vt:lpwstr>
  </property>
  <property fmtid="{D5CDD505-2E9C-101B-9397-08002B2CF9AE}" pid="3" name="MediaServiceImageTags">
    <vt:lpwstr/>
  </property>
</Properties>
</file>