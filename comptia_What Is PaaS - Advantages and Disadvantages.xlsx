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F:\Projects\Accessibility\19-Sep- 2024\Others\R373 What Is PaaS - Advantages and Disadvantages\"/>
    </mc:Choice>
  </mc:AlternateContent>
  <xr:revisionPtr revIDLastSave="0" documentId="13_ncr:1_{87215B41-2E18-4F47-BA4D-90BA9D40512B}" xr6:coauthVersionLast="47" xr6:coauthVersionMax="47" xr10:uidLastSave="{00000000-0000-0000-0000-000000000000}"/>
  <bookViews>
    <workbookView xWindow="-120" yWindow="-120" windowWidth="29040" windowHeight="15720" tabRatio="771" activeTab="1" xr2:uid="{00000000-000D-0000-FFFF-FFFF00000000}"/>
  </bookViews>
  <sheets>
    <sheet name="Evaluation Summary" sheetId="11" r:id="rId1"/>
    <sheet name="Issue List" sheetId="6" r:id="rId2"/>
    <sheet name="Examples" sheetId="12" r:id="rId3"/>
    <sheet name="Evaluation Environment" sheetId="13" r:id="rId4"/>
    <sheet name="WCAG 2.2 A-AA"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1" l="1"/>
  <c r="B15" i="11"/>
  <c r="B1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Master_Issue_Tracker" description="Connection to the 'Master_Issue_Tracker' query in the workbook." type="5" refreshedVersion="0" background="1" saveData="1">
    <dbPr connection="Provider=Microsoft.Mashup.OleDb.1;Data Source=$Workbook$;Location=Master_Issue_Tracker;Extended Properties=&quot;&quot;" command="SELECT * FROM [Master_Issue_Tracker]"/>
  </connection>
</connections>
</file>

<file path=xl/sharedStrings.xml><?xml version="1.0" encoding="utf-8"?>
<sst xmlns="http://schemas.openxmlformats.org/spreadsheetml/2006/main" count="281" uniqueCount="232">
  <si>
    <t>Western Governors University</t>
  </si>
  <si>
    <t>Vendor Name:</t>
  </si>
  <si>
    <t>Product Name:</t>
  </si>
  <si>
    <t>URL:</t>
  </si>
  <si>
    <t>Evaluation Date:</t>
  </si>
  <si>
    <t>Evaluation Status:</t>
  </si>
  <si>
    <t>Executive Summary:</t>
  </si>
  <si>
    <t>Evaluator:</t>
  </si>
  <si>
    <t>Critical Issues:</t>
  </si>
  <si>
    <t>Significant Issues:</t>
  </si>
  <si>
    <t xml:space="preserve">Minor Issues: </t>
  </si>
  <si>
    <t>Issue Name</t>
  </si>
  <si>
    <t>WCAG Success Criteria</t>
  </si>
  <si>
    <t>Severity Level</t>
  </si>
  <si>
    <t>Actual Result</t>
  </si>
  <si>
    <t>Expected Result</t>
  </si>
  <si>
    <t>Student Impact</t>
  </si>
  <si>
    <t>Recommendation</t>
  </si>
  <si>
    <t>Issue Persistence</t>
  </si>
  <si>
    <t>Detection Method</t>
  </si>
  <si>
    <t>Location in Asset</t>
  </si>
  <si>
    <t>Example</t>
  </si>
  <si>
    <t>Notes</t>
  </si>
  <si>
    <t>Evaluation Environment</t>
  </si>
  <si>
    <t>Browser or Tool</t>
  </si>
  <si>
    <t>Version</t>
  </si>
  <si>
    <t>Windows 11</t>
  </si>
  <si>
    <t>MacOS</t>
  </si>
  <si>
    <t>Google Chrome</t>
  </si>
  <si>
    <t>Firefox</t>
  </si>
  <si>
    <t>Microsoft Edge</t>
  </si>
  <si>
    <t>NonVisual Desktop Access (NVDA)</t>
  </si>
  <si>
    <t>Job Access With Speech (JAWS)</t>
  </si>
  <si>
    <t>PDF Accessibility Checker (PAC) 2024</t>
  </si>
  <si>
    <t>24.0.0.1</t>
  </si>
  <si>
    <t>Colour Contrast Analyser (CCA)</t>
  </si>
  <si>
    <t>3.4.2</t>
  </si>
  <si>
    <t>Adobe Digital Editions (ADE)</t>
  </si>
  <si>
    <t>4.5.12.112</t>
  </si>
  <si>
    <t>WAVE Evaluation Tool (WAVE)</t>
  </si>
  <si>
    <t>Accessibility Insights for Web</t>
  </si>
  <si>
    <t>2.41.0</t>
  </si>
  <si>
    <t>IBM Equal Access Accessibility Checker</t>
  </si>
  <si>
    <t>axe DevTools</t>
  </si>
  <si>
    <t>Lighthouse</t>
  </si>
  <si>
    <t>Adobe Acrobat Pro</t>
  </si>
  <si>
    <t>WCAG Criterion</t>
  </si>
  <si>
    <t>1.1.1 Non-text Content (A)</t>
  </si>
  <si>
    <t>1.2.1 Audio-only and Video-only (Prerecorded) (A)</t>
  </si>
  <si>
    <t>1.2.2 Captions (Prerecorded) (A)</t>
  </si>
  <si>
    <t>1.2.3 Audio Description or Media Alternative (Prerecorded) (A)</t>
  </si>
  <si>
    <t>1.2.4 Captions (Live) (AA)</t>
  </si>
  <si>
    <t>1.2.5 Audio Description (Prerecorded) (AA)</t>
  </si>
  <si>
    <t>1.3.1 Info and Relationships (A)</t>
  </si>
  <si>
    <t>1.3.2 Meaningful Sequence (A)</t>
  </si>
  <si>
    <t>1.3.3 Sensory Characteristics (A)</t>
  </si>
  <si>
    <t>1.3.4 Orientation (AA)</t>
  </si>
  <si>
    <t>1.3.5 Identify Input Purpose (AA)</t>
  </si>
  <si>
    <t>1.4.1 Use of Color (A)</t>
  </si>
  <si>
    <t>1.4.10 Reflow (AA)</t>
  </si>
  <si>
    <t>1.4.11 Non-text Contrast (AA)</t>
  </si>
  <si>
    <t>1.4.12 Text Spacing (AA)</t>
  </si>
  <si>
    <t>1.4.13 Content on Hover or Focus (AA)</t>
  </si>
  <si>
    <t>1.4.2 Audio Control (A)</t>
  </si>
  <si>
    <t>1.4.3 Contrast (Minimum) (AA)</t>
  </si>
  <si>
    <t>1.4.4 Resize Text (AA)</t>
  </si>
  <si>
    <t>1.4.5 Images of Text (AA)</t>
  </si>
  <si>
    <t>2.1.1 Keyboard (A)</t>
  </si>
  <si>
    <t>2.1.2 No Keyboard Trap (A)</t>
  </si>
  <si>
    <t>2.1.4 Character Key Shortcuts (A)</t>
  </si>
  <si>
    <t>2.2.1 Timing Adjustable (A)</t>
  </si>
  <si>
    <t>2.2.2 Pause, Stop, Hide (A)</t>
  </si>
  <si>
    <t>2.3.1 Three Flashes or Below Threshold (A)</t>
  </si>
  <si>
    <t>2.4.1 Bypass Blocks (A)</t>
  </si>
  <si>
    <t>2.4.11 Focus Not Obscured (Minimum) (AA)</t>
  </si>
  <si>
    <t>2.4.2 Page Titled (A)</t>
  </si>
  <si>
    <t>2.4.3 Focus Order (A)</t>
  </si>
  <si>
    <t>2.4.4 Link Purpose (In Context) (A)</t>
  </si>
  <si>
    <t>2.4.5 Multiple Ways (AA)</t>
  </si>
  <si>
    <t>2.4.6 Headings and Labels (AA)</t>
  </si>
  <si>
    <t>2.4.7 Focus Visible (AA)</t>
  </si>
  <si>
    <t>2.5.1 Pointer Gestures (A)</t>
  </si>
  <si>
    <t>2.5.2 Pointer Cancellation (A)</t>
  </si>
  <si>
    <t>2.5.3 Label in Name (A)</t>
  </si>
  <si>
    <t>2.5.4 Motion Actuation (A)</t>
  </si>
  <si>
    <t>2.5.7 Dragging Movements (AA)</t>
  </si>
  <si>
    <t>2.5.8 Target Size (Minimum) (AA)</t>
  </si>
  <si>
    <t>3.1.1 Language of Page (A)</t>
  </si>
  <si>
    <t>3.1.2 Language of Parts (AA)</t>
  </si>
  <si>
    <t>3.2.1 On Focus (A)</t>
  </si>
  <si>
    <t>3.2.2 On Input (A)</t>
  </si>
  <si>
    <t>3.2.3 Consistent Navigation (AA)</t>
  </si>
  <si>
    <t>3.2.4 Consistent Identification (AA)</t>
  </si>
  <si>
    <t>3.2.6 Consistent Help (A)</t>
  </si>
  <si>
    <t>3.3.1 Error Identification (A)</t>
  </si>
  <si>
    <t>3.3.2 Labels or Instructions (A)</t>
  </si>
  <si>
    <t>3.3.3 Error Suggestion (AA)</t>
  </si>
  <si>
    <t>3.3.4 Error Prevention (Legal, Financial, Data) (AA)</t>
  </si>
  <si>
    <t>3.3.7 Redundant Entry (A)</t>
  </si>
  <si>
    <t>3.3.8 Accessible Authentication (Minimum) (AA)</t>
  </si>
  <si>
    <t>4.1.2 Name, Role, Value (A)</t>
  </si>
  <si>
    <t>4.1.3 Status Messages (AA)</t>
  </si>
  <si>
    <t>ANDI</t>
  </si>
  <si>
    <t>29.1.1</t>
  </si>
  <si>
    <t>124.0.1</t>
  </si>
  <si>
    <t>123.0.2420.65</t>
  </si>
  <si>
    <t>3.2.5.3</t>
  </si>
  <si>
    <t>2023.2402.1</t>
  </si>
  <si>
    <t>3.1.68</t>
  </si>
  <si>
    <t>4.8.4</t>
  </si>
  <si>
    <t>11.5.0</t>
  </si>
  <si>
    <t>2024.001.20629</t>
  </si>
  <si>
    <t>Learning Resource (LR) - Accessibility Evaluation Report</t>
  </si>
  <si>
    <t>LR Format:</t>
  </si>
  <si>
    <t>Minor</t>
  </si>
  <si>
    <t>Single</t>
  </si>
  <si>
    <t>Critical</t>
  </si>
  <si>
    <t>Screen reader</t>
  </si>
  <si>
    <t>The screen reader should read the content of the pop-up line by line.</t>
  </si>
  <si>
    <t>Non-interactive element receives keyboard focus</t>
  </si>
  <si>
    <t>Global</t>
  </si>
  <si>
    <t xml:space="preserve">Student may confuse With the information they get from the screen reader as it is reading the complete information at once. </t>
  </si>
  <si>
    <t>Ensure the screen reader reads the content on keyboard navigation.</t>
  </si>
  <si>
    <t>Partial</t>
  </si>
  <si>
    <t>Alt text should be provided for the linked in logo.</t>
  </si>
  <si>
    <t>Student rely on the assistive technologies may leads to the incomplete information.</t>
  </si>
  <si>
    <t>Ensure the alt is provided to the linkedin logo &lt;img alt="Linkedin logo" &gt;</t>
  </si>
  <si>
    <t>Raj Singh</t>
  </si>
  <si>
    <t>123.0.6312.86</t>
  </si>
  <si>
    <t>2023.3.4.31265</t>
  </si>
  <si>
    <t>https://stackoverflow.com/questions/9900683/how-to-get-a-screen-reader-to-stop-reading-and-read-different-content</t>
  </si>
  <si>
    <t>Screen reader reads everything at once.</t>
  </si>
  <si>
    <t>https://developer.mozilla.org/en-US/docs/Web/Accessibility/Understanding_WCAG/Keyboard</t>
  </si>
  <si>
    <t>Minor Remediation</t>
  </si>
  <si>
    <t>23H2</t>
  </si>
  <si>
    <t>List markup is missing or inaccurate</t>
  </si>
  <si>
    <t>Lists should be properly marked up with &lt;ul&gt;, &lt;ol&gt;, and &lt;li&gt; elements.    Controls should be organized in a list for better screen reader navigation.</t>
  </si>
  <si>
    <t>Screen readers may not properly announce navigation items, causing confusion.</t>
  </si>
  <si>
    <t>Apply correct semantic HTML for lists to ensure proper screen reader behavior.</t>
  </si>
  <si>
    <t>Significant</t>
  </si>
  <si>
    <t xml:space="preserve">4.1.2 Name, Role, Value (A), 1.4.10 Reflow (AA), 1.3.1 Info and Relationships (A), 2.4.7 Focus Visible (AA), 1.4.1 Use of Color (A), 1.1.1 Non-text Content (A),1.2.5 Audio Description (Prerecorded) (AA)
</t>
  </si>
  <si>
    <t>Keyboard supprot is missing</t>
  </si>
  <si>
    <t>Search model dialog is overlapping over the main content of the website.</t>
  </si>
  <si>
    <t>Focus indicator is insufficient for buttons</t>
  </si>
  <si>
    <t>Incorrect tab order</t>
  </si>
  <si>
    <t>Insufficient color contrast</t>
  </si>
  <si>
    <t xml:space="preserve">&gt;&gt;Color contrast is very low for foreground :#008fc3 and background :#FFFFFF
is 3.7:1 is very low.
And color contrast is very low 2.6:1 for foreground :#FFFFFF
background: #9ba0a4
</t>
  </si>
  <si>
    <t>&gt;&gt;Links throughout the webpage :such as &gt;Home
Content
What Is PaaS?
&gt;&gt;Link button : Read more</t>
  </si>
  <si>
    <t>Button Functions Differently on Hover and Click</t>
  </si>
  <si>
    <t>Certifications,Training
Testing
Continuing Education
Events
Resources
Career Changers</t>
  </si>
  <si>
    <t>On hover and keyboard navigation</t>
  </si>
  <si>
    <t xml:space="preserve">Screen Reader is reading everthing in just one go </t>
  </si>
  <si>
    <t xml:space="preserve">&gt;&gt;Screen reader is reading all content of the "top-bar_menu"
&gt;&gt;Membership Community,CompTIA Spark,Partners,About us,Newsroom,contact us,help
</t>
  </si>
  <si>
    <t>&gt;&gt;List markup is missing for :"top-bar_menu"
&gt;&gt;Membership Community,CompTIA Spark,Partners,About us,Newsroom,contact us,help</t>
  </si>
  <si>
    <t xml:space="preserve">Manual inspection </t>
  </si>
  <si>
    <t>Screen Reader announcing Landmark Information Multiple Times</t>
  </si>
  <si>
    <t>Buttons should be correctly identified and announced as buttons by the screen reader, while links should be recognized as links.</t>
  </si>
  <si>
    <t>This misidentification can confuse users relying on screen readers, leading to misunderstandings about the functionality of interface elements and impacting navigation.</t>
  </si>
  <si>
    <t>Ensure that the appropriate HTML elements and ARIA roles are used to correctly define buttons and links.</t>
  </si>
  <si>
    <t>Throughout the webpage the screen reader is announcing the button as link 
for example :Log in, Store
 screen reader incorrectly announces buttons as links, even though visually they are displayed as buttons.</t>
  </si>
  <si>
    <t>Throughout the webpage the screen reader is announcing the button as link 
for example :Log in, Store</t>
  </si>
  <si>
    <t>Screen reader incorrectly announces buttons as links, while visually links appear as buttons.</t>
  </si>
  <si>
    <t xml:space="preserve"> "top-bar_menu"
&gt;&gt;Membership Community,CompTIA Spark,Partners,About us,Newsroom,contact us,help
&gt;&gt;You may also be interested in…
</t>
  </si>
  <si>
    <t xml:space="preserve">Screen reader and keyboard tab </t>
  </si>
  <si>
    <t>Link purpose is unclear</t>
  </si>
  <si>
    <t>Links, which are often read out of context, should clearly describe the destination or function of the link.</t>
  </si>
  <si>
    <t>Students may become confused or misunderstand the content if it is only announced  as "Read More" without additional context or information about what it pertains to.</t>
  </si>
  <si>
    <t xml:space="preserve">Provide a descriptive label for the "Read More" link or button that clearly indicates the content or topic it will lead to. </t>
  </si>
  <si>
    <t xml:space="preserve"> "top-bar_menu"
&gt;&gt;Membership Community,CompTIA Spark,Partners,About us,Newsroom,contact us,help
&gt;&gt;Footer stection&gt;About Us
Newsroom
Contact Us
Blog
Join Our Team and Social icons
</t>
  </si>
  <si>
    <t>Inaccurate alt text</t>
  </si>
  <si>
    <t xml:space="preserve">Screen reader is reading hidden content </t>
  </si>
  <si>
    <t xml:space="preserve">Keyboard accessibility </t>
  </si>
  <si>
    <t>&gt;&gt;Header section: search icon:</t>
  </si>
  <si>
    <t>&gt;&gt;Click on the Search icon and observe that the Search icon button is  inaccessible through the keyboard .</t>
  </si>
  <si>
    <t>&gt;&gt; "Log in" and "Store" button
&gt;&gt;main content :Home,
Content.
&gt;&gt;Footer : Change language button</t>
  </si>
  <si>
    <t>&gt;&gt;footer section</t>
  </si>
  <si>
    <t>&gt;&gt;main sections&gt;&gt;You may also be interested in…&gt;&gt;Read more link</t>
  </si>
  <si>
    <t>&gt;&gt;ALT text is inaccurate for Comptia logo and social platforms icon present in the Footer footer section</t>
  </si>
  <si>
    <t>&gt;&gt;Footer section images</t>
  </si>
  <si>
    <t>&gt;&gt;Cookies settings</t>
  </si>
  <si>
    <t>&gt;&gt;Hamburger menu::item&gt;&gt;HELP</t>
  </si>
  <si>
    <t>Inconsistent Header Tabs When Resizing Screen to 320x256 Dimensions</t>
  </si>
  <si>
    <t>Resize upto 200%,400% and applying reflow 320*256dim</t>
  </si>
  <si>
    <t>Header tabs&gt;&gt;Hamburger menu</t>
  </si>
  <si>
    <r>
      <t xml:space="preserve">&gt;&gt;While we navigate to the footer section till the end of the webpage the screen reader is reading the </t>
    </r>
    <r>
      <rPr>
        <b/>
        <sz val="12"/>
        <color theme="1"/>
        <rFont val="Arial"/>
        <family val="2"/>
      </rPr>
      <t>Cookings settings</t>
    </r>
    <r>
      <rPr>
        <sz val="12"/>
        <color theme="1"/>
        <rFont val="Arial"/>
        <family val="2"/>
      </rPr>
      <t xml:space="preserve"> button which is not present on the webpage</t>
    </r>
  </si>
  <si>
    <t>The Search icon should be accessible using keyboard shortcuts, allowing users to navigate and activate it without a mouse.</t>
  </si>
  <si>
    <t>Students relying on keyboard navigation, particularly those with disabilities, may find it challenging to use the search feature, leading to frustration and hindering their overall experience and access to resources.</t>
  </si>
  <si>
    <t>Implement ARIA roles and tabindex attributes to ensure the Search icon is focusable and can be activated using the keyboard. Additionally, consider adding a keyboard shortcut for quick access.</t>
  </si>
  <si>
    <t>The search model dialog overlaps the main content of the website, and when using a screen reader, it reads the main content instead of the dialog content, making it inaccessible to users relying on assistive technology.</t>
  </si>
  <si>
    <t>The search model dialog should be properly positioned to avoid overlapping the main content, and the screen reader should focus on the dialog content, providing an accurate reading of its elements.</t>
  </si>
  <si>
    <t>Students who rely on screen readers may struggle to access the search functionality, leading to frustration and hindering their ability to find necessary information. This could significantly affect their overall user experience and accessibility.</t>
  </si>
  <si>
    <t>Redesign the search model dialog to ensure it appears as a modal overlay that properly captures focus. Implement ARIA roles (such as role="dialog") and ensure the dialog is announced to screen readers. Also, consider implementing keyboard navigation to enhance usability.</t>
  </si>
  <si>
    <t xml:space="preserve">&gt;&gt;Focus indicator is insufficient for "Log in" and "Store" button,
making it difficult for users to see which button is currently focused, especially when navigating via keyboard.
</t>
  </si>
  <si>
    <t>Buttons should have a clear and distinct focus indicator (such as a border, background color change, or shadow) that meets accessibility standards, allowing users to easily identify the focused element.</t>
  </si>
  <si>
    <t>Users, particularly those relying on keyboard navigation or with visual impairments, may struggle to determine which button is active, potentially leading to confusion and errors in navigation or interaction.</t>
  </si>
  <si>
    <t>Enhance the focus indicator for buttons by applying CSS styles that provide a noticeable change (e.g., adding a solid border, changing the background color, or adding a shadow effect) when a button is focused. Ensure that the focus style is compliant with accessibility standards (e.g., minimum contrast ratios).</t>
  </si>
  <si>
    <t>CCA tool</t>
  </si>
  <si>
    <t xml:space="preserve">In the Footer section, the keyboard tab order is incorrect as :the tab order is moving from "Join Our Team" to social platforms icons such as "facebook,twitter,linkedin…. Instead of moving to "CompTIA IT Certifications"
</t>
  </si>
  <si>
    <t>The tab order should follow the visual layout of the page, allowing users to navigate through interactive elements in a logical sequence that matches the user interface.</t>
  </si>
  <si>
    <t>Students relying on keyboard navigation may find it difficult to interact with the website efficiently, leading to frustration and hindering their ability to access information and complete tasks.</t>
  </si>
  <si>
    <t>Review and adjust the tab order of all interactive elements to ensure a logical flow. Use the tabindex attribute where necessary and ensure that the order aligns with the visual presentation of the page.</t>
  </si>
  <si>
    <t>Text should have sufficient color contrast against its background to ensure readability, complying with accessibility standards (e.g., a minimum contrast ratio of 4.5:1 for normal text).</t>
  </si>
  <si>
    <t>Students with visual impairments or color blindness may struggle to read the content, potentially leading to misunderstandings and reduced access to important information.</t>
  </si>
  <si>
    <t>Adjust the color palette to improve contrast ratios. Consider using tools like the WebAIM Contrast Checker to evaluate color combinations and ensure they meet accessibility guidelines.</t>
  </si>
  <si>
    <t>&gt;&gt;dropdown on hover and link on click
The behavior of buttons changes when hovered over compared to when they are clicked, leading to inconsistencies in user experience and expectations.</t>
  </si>
  <si>
    <t>Buttons should provide consistent functionality and feedback, regardless of whether the user is hovering over them or clicking them. The same action should occur on both interactions.</t>
  </si>
  <si>
    <t>Users may become confused or frustrated if buttons behave unexpectedly, which can disrupt navigation and hinder their ability to complete tasks effectively.</t>
  </si>
  <si>
    <t>Review the button interactions to ensure that the same action is triggered on both hover and click. Consider using consistent visual cues (such as animations or color changes) that clearly indicate the button's purpose and response to user actions.</t>
  </si>
  <si>
    <t>landmark should be announced only once by the screen reader, allowing users to navigate efficiently without repeated information.</t>
  </si>
  <si>
    <t>Students using screen readers may find it challenging to navigate the page due to the repetitive announcements, which can lead to frustration and a diminished user experience.</t>
  </si>
  <si>
    <t xml:space="preserve">Review the HTML structure to identify duplicate landmark roles or IDs. Ensure that each landmark is defined once and is appropriately labeled to avoid redundancy. </t>
  </si>
  <si>
    <t>&gt;&gt;Screen reader is announcing the "navigation landmark twice for header tabs
&gt;&gt;just before the Certifications tab</t>
  </si>
  <si>
    <t>header tab</t>
  </si>
  <si>
    <t>"Read more" link under the "You may also be interested in…" section contains extraneous text or lacks clarity, making it difficult for users to understand its purpose without additional context.</t>
  </si>
  <si>
    <t>The screen reader should accurately reflect the interactive elements available on the page, without announcing non-existent items.</t>
  </si>
  <si>
    <t>This issue can create confusion for users relying on screen readers, as they may attempt to interact with an element that does not exist, leading to frustration and a disrupted browsing experience.</t>
  </si>
  <si>
    <t>Review the code for any hidden or incorrectly referenced elements that may be causing this announcement</t>
  </si>
  <si>
    <t>Reflow 320*256dim</t>
  </si>
  <si>
    <t>The "Help" menu item in the hamburger menu is cut off when the screen is reflowed to a dimension of 320x256 pixels, making it inaccessible to users.</t>
  </si>
  <si>
    <t>The hamburger menu should display all menu items clearly and fully, even at smaller screen sizes, ensuring all options are accessible.</t>
  </si>
  <si>
    <t>Users accessing the site on smaller devices may be unable to find or use the "Help" menu item, which can hinder their ability to get assistance or navigate the website effectively.</t>
  </si>
  <si>
    <t>Adjust the responsive design of the hamburger menu to ensure that all menu items, including "Help," are visible at smaller screen sizes. Consider using techniques such as changing font sizes, adjusting padding, or utilizing a scrollable menu to accommodate all items without cutting them off.</t>
  </si>
  <si>
    <t>When the screen is resized, the "Membership Community" and "CompTIA Spark" items are not present in the hamburger menu. Instead, a different item labeled "Corporate Membership" appears.</t>
  </si>
  <si>
    <t>The hamburger menu should include all relevant items, including "Membership Community" and "CompTIA Spark," regardless of screen size.</t>
  </si>
  <si>
    <t>Users accessing the site on smaller screens may be unable to find important membership options, potentially leading to confusion and decreased engagement with the community resources.</t>
  </si>
  <si>
    <t>Review the responsive design logic for the hamburger menu to ensure that all necessary menu items are included. Ensure that the menu is updated to reflect consistent item availability across all screen sizes, and consider consolidating items if space is limited.</t>
  </si>
  <si>
    <t>https://www.comptia.org/content/articles/what-is-paas</t>
  </si>
  <si>
    <t>What Is PaaS - Advantages and Disadvantages</t>
  </si>
  <si>
    <t>Webpage</t>
  </si>
  <si>
    <t>Comptia</t>
  </si>
  <si>
    <t>"Help" Menu Item Cut Off in Hamburger Menu on screen resize</t>
  </si>
  <si>
    <t>20/sept./2024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</si>
</sst>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b/>
      <sz val="20"/>
      <color rgb="FF003057"/>
      <name val="Arial"/>
      <family val="2"/>
    </font>
    <font>
      <b/>
      <sz val="14"/>
      <color rgb="FF63666A"/>
      <name val="Arial"/>
      <family val="2"/>
    </font>
    <font>
      <u/>
      <sz val="12"/>
      <color theme="10"/>
      <name val="Arial"/>
      <family val="2"/>
    </font>
    <font>
      <b/>
      <sz val="14"/>
      <color rgb="FF003057"/>
      <name val="Arial"/>
      <family val="2"/>
    </font>
    <font>
      <sz val="12"/>
      <color theme="1"/>
      <name val="Arial"/>
      <family val="2"/>
    </font>
    <font>
      <b/>
      <sz val="20"/>
      <color rgb="FF003057"/>
      <name val="Arial"/>
      <family val="2"/>
    </font>
    <font>
      <b/>
      <sz val="14"/>
      <color rgb="FF63666A"/>
      <name val="Arial"/>
      <family val="2"/>
    </font>
    <font>
      <b/>
      <sz val="12"/>
      <color theme="1"/>
      <name val="Arial"/>
      <family val="2"/>
    </font>
    <font>
      <sz val="12"/>
      <color theme="1"/>
      <name val="Arial"/>
      <family val="2"/>
    </font>
    <font>
      <u/>
      <sz val="11"/>
      <color theme="10"/>
      <name val="Calibri"/>
      <family val="2"/>
      <scheme val="minor"/>
    </font>
    <font>
      <sz val="12"/>
      <color theme="1"/>
      <name val="Calibri"/>
      <family val="2"/>
      <scheme val="minor"/>
    </font>
    <font>
      <b/>
      <sz val="12"/>
      <color theme="1"/>
      <name val="Calibri"/>
      <family val="2"/>
      <scheme val="minor"/>
    </font>
    <font>
      <sz val="11"/>
      <color rgb="FF000000"/>
      <name val="Aptos Narrow"/>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6" fillId="0" borderId="0" applyFont="0" applyFill="0" applyBorder="0" applyAlignment="0" applyProtection="0"/>
    <xf numFmtId="0" fontId="9" fillId="0" borderId="0" applyNumberFormat="0" applyFill="0" applyBorder="0" applyAlignment="0" applyProtection="0"/>
    <xf numFmtId="0" fontId="16" fillId="0" borderId="0" applyNumberFormat="0" applyFill="0" applyBorder="0" applyAlignment="0" applyProtection="0"/>
  </cellStyleXfs>
  <cellXfs count="54">
    <xf numFmtId="0" fontId="0" fillId="0" borderId="0" xfId="0"/>
    <xf numFmtId="0" fontId="4" fillId="0" borderId="0" xfId="0" applyFont="1" applyAlignment="1">
      <alignment horizontal="left" vertical="center"/>
    </xf>
    <xf numFmtId="0" fontId="9" fillId="0" borderId="0" xfId="2" quotePrefix="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9" fillId="0" borderId="0" xfId="2"/>
    <xf numFmtId="0" fontId="3" fillId="0" borderId="0" xfId="0" applyFont="1"/>
    <xf numFmtId="0" fontId="2" fillId="0" borderId="0" xfId="0" applyFont="1" applyAlignment="1">
      <alignment horizontal="left" vertical="center"/>
    </xf>
    <xf numFmtId="0" fontId="2" fillId="0" borderId="0" xfId="0" applyFont="1"/>
    <xf numFmtId="0" fontId="11" fillId="0" borderId="0" xfId="0" applyFont="1" applyAlignment="1">
      <alignment horizontal="left" vertical="center"/>
    </xf>
    <xf numFmtId="0" fontId="14" fillId="0" borderId="0" xfId="0" applyFont="1" applyAlignment="1">
      <alignment horizontal="left" vertical="center"/>
    </xf>
    <xf numFmtId="0" fontId="14" fillId="0" borderId="2" xfId="0" applyFont="1" applyBorder="1" applyAlignment="1">
      <alignment vertical="center" wrapText="1"/>
    </xf>
    <xf numFmtId="0" fontId="14" fillId="0" borderId="3" xfId="0" applyFont="1" applyBorder="1" applyAlignment="1">
      <alignment vertical="center" wrapText="1"/>
    </xf>
    <xf numFmtId="0" fontId="11" fillId="0" borderId="4" xfId="0" applyFont="1" applyBorder="1" applyAlignment="1">
      <alignment horizontal="center" vertical="center" wrapText="1"/>
    </xf>
    <xf numFmtId="0" fontId="14" fillId="0" borderId="3" xfId="0" applyFont="1" applyBorder="1" applyAlignment="1">
      <alignment vertical="center"/>
    </xf>
    <xf numFmtId="0" fontId="11" fillId="0" borderId="4" xfId="0" applyFont="1" applyBorder="1" applyAlignment="1">
      <alignment horizontal="center" vertical="center"/>
    </xf>
    <xf numFmtId="0" fontId="11" fillId="0" borderId="4" xfId="0" applyFont="1" applyBorder="1" applyAlignment="1">
      <alignment horizontal="left" vertical="center" wrapText="1"/>
    </xf>
    <xf numFmtId="0" fontId="14" fillId="0" borderId="5" xfId="0" applyFont="1" applyBorder="1" applyAlignment="1">
      <alignment horizontal="left" vertical="center"/>
    </xf>
    <xf numFmtId="0" fontId="11" fillId="0" borderId="6" xfId="0" applyFont="1" applyBorder="1" applyAlignment="1">
      <alignment horizontal="left" vertical="center" wrapText="1"/>
    </xf>
    <xf numFmtId="0" fontId="2" fillId="0" borderId="0" xfId="0" quotePrefix="1" applyFont="1" applyAlignment="1">
      <alignment vertical="center" wrapText="1"/>
    </xf>
    <xf numFmtId="9" fontId="2" fillId="0" borderId="0" xfId="1" applyFont="1" applyAlignment="1">
      <alignment horizontal="left" vertical="center"/>
    </xf>
    <xf numFmtId="14" fontId="2" fillId="0" borderId="0" xfId="0" quotePrefix="1" applyNumberFormat="1" applyFont="1" applyAlignment="1">
      <alignment vertical="center" wrapText="1"/>
    </xf>
    <xf numFmtId="12" fontId="2" fillId="0" borderId="0" xfId="0" applyNumberFormat="1" applyFont="1" applyAlignment="1">
      <alignment horizontal="lef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14" fontId="1" fillId="0" borderId="4" xfId="0" applyNumberFormat="1"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1" fillId="0" borderId="4" xfId="0" applyFont="1" applyBorder="1" applyAlignment="1">
      <alignment horizontal="center" vertical="center" wrapText="1"/>
    </xf>
    <xf numFmtId="0" fontId="2" fillId="0" borderId="7" xfId="0" applyFont="1" applyBorder="1" applyAlignment="1">
      <alignment horizontal="left" vertical="top" wrapText="1"/>
    </xf>
    <xf numFmtId="0" fontId="2" fillId="0" borderId="7" xfId="0" applyFont="1" applyBorder="1" applyAlignment="1">
      <alignment vertical="top" wrapText="1"/>
    </xf>
    <xf numFmtId="0" fontId="4" fillId="0" borderId="7" xfId="0" applyFont="1" applyBorder="1" applyAlignment="1">
      <alignment vertical="top" wrapText="1"/>
    </xf>
    <xf numFmtId="0" fontId="17" fillId="0" borderId="7" xfId="0" applyFont="1" applyBorder="1" applyAlignment="1">
      <alignment vertical="top" wrapText="1"/>
    </xf>
    <xf numFmtId="0" fontId="15" fillId="0" borderId="7" xfId="0" applyFont="1" applyBorder="1" applyAlignment="1">
      <alignment horizontal="left" vertical="top" wrapText="1"/>
    </xf>
    <xf numFmtId="0" fontId="1" fillId="0" borderId="7" xfId="0" applyFont="1" applyBorder="1" applyAlignment="1">
      <alignment horizontal="left" vertical="top" wrapText="1"/>
    </xf>
    <xf numFmtId="0" fontId="9" fillId="0" borderId="7" xfId="2" applyBorder="1" applyAlignment="1">
      <alignment horizontal="left" vertical="top" wrapText="1"/>
    </xf>
    <xf numFmtId="0" fontId="0" fillId="0" borderId="7" xfId="0" applyBorder="1" applyAlignment="1">
      <alignment vertical="top" wrapText="1"/>
    </xf>
    <xf numFmtId="0" fontId="1" fillId="0" borderId="7" xfId="0" applyFont="1" applyBorder="1" applyAlignment="1">
      <alignment vertical="top" wrapText="1"/>
    </xf>
    <xf numFmtId="0" fontId="3" fillId="0" borderId="0" xfId="0" applyFont="1" applyAlignment="1">
      <alignment horizontal="left" vertical="top" wrapText="1"/>
    </xf>
    <xf numFmtId="0" fontId="18" fillId="0" borderId="7" xfId="0" applyFont="1" applyBorder="1" applyAlignment="1">
      <alignment vertical="top" wrapText="1"/>
    </xf>
    <xf numFmtId="0" fontId="15" fillId="2" borderId="7"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7" xfId="0" applyFont="1" applyFill="1" applyBorder="1" applyAlignment="1">
      <alignment wrapText="1"/>
    </xf>
    <xf numFmtId="0" fontId="17" fillId="2" borderId="7" xfId="0" applyFont="1" applyFill="1" applyBorder="1" applyAlignment="1">
      <alignment horizontal="left" vertical="top" wrapText="1"/>
    </xf>
    <xf numFmtId="0" fontId="0" fillId="2" borderId="7" xfId="0" applyFill="1" applyBorder="1" applyAlignment="1">
      <alignment wrapText="1"/>
    </xf>
    <xf numFmtId="0" fontId="18" fillId="2" borderId="7" xfId="0" applyFont="1" applyFill="1" applyBorder="1" applyAlignment="1">
      <alignment vertical="top" wrapText="1"/>
    </xf>
    <xf numFmtId="0" fontId="19" fillId="0" borderId="0" xfId="0" applyFont="1"/>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cellXfs>
  <cellStyles count="4">
    <cellStyle name="Hyperlink" xfId="2" builtinId="8" customBuiltin="1"/>
    <cellStyle name="Hyperlink 2" xfId="3" xr:uid="{00000000-0005-0000-0000-000001000000}"/>
    <cellStyle name="Normal" xfId="0" builtinId="0"/>
    <cellStyle name="Percent" xfId="1" builtinId="5"/>
  </cellStyles>
  <dxfs count="36">
    <dxf>
      <font>
        <b/>
        <i val="0"/>
        <strike val="0"/>
      </font>
      <fill>
        <patternFill>
          <bgColor theme="9" tint="0.59996337778862885"/>
        </patternFill>
      </fill>
      <border>
        <left style="thin">
          <color auto="1"/>
        </left>
        <right style="thin">
          <color auto="1"/>
        </right>
        <top style="thin">
          <color auto="1"/>
        </top>
        <bottom style="thin">
          <color auto="1"/>
        </bottom>
        <vertical/>
        <horizontal/>
      </border>
    </dxf>
    <dxf>
      <font>
        <b/>
        <i val="0"/>
        <color rgb="FF4C3800"/>
      </font>
      <fill>
        <patternFill patternType="solid">
          <bgColor theme="7" tint="0.39991454817346722"/>
        </patternFill>
      </fill>
      <border>
        <left style="dashDot">
          <color auto="1"/>
        </left>
        <right style="dashDot">
          <color auto="1"/>
        </right>
        <top style="dashDot">
          <color auto="1"/>
        </top>
        <bottom style="dashDot">
          <color auto="1"/>
        </bottom>
        <vertical/>
        <horizontal/>
      </border>
    </dxf>
    <dxf>
      <font>
        <b/>
        <i val="0"/>
      </font>
      <fill>
        <patternFill>
          <bgColor rgb="FFFD5555"/>
        </patternFill>
      </fill>
      <border>
        <left style="hair">
          <color auto="1"/>
        </left>
        <right style="hair">
          <color auto="1"/>
        </right>
        <top style="hair">
          <color auto="1"/>
        </top>
        <bottom style="hair">
          <color auto="1"/>
        </bottom>
        <vertical/>
        <horizontal/>
      </border>
    </dxf>
    <dxf>
      <font>
        <b/>
        <i val="0"/>
        <color theme="1"/>
      </font>
      <fill>
        <patternFill>
          <fgColor theme="9" tint="0.39994506668294322"/>
        </patternFill>
      </fill>
    </dxf>
    <dxf>
      <font>
        <color theme="0"/>
      </font>
      <fill>
        <patternFill>
          <bgColor theme="0"/>
        </patternFill>
      </fill>
    </dxf>
    <dxf>
      <font>
        <b/>
        <i val="0"/>
        <color theme="1"/>
      </font>
      <fill>
        <patternFill>
          <bgColor theme="9" tint="0.39994506668294322"/>
        </patternFill>
      </fill>
    </dxf>
    <dxf>
      <font>
        <b/>
        <i val="0"/>
        <color theme="1"/>
      </font>
      <fill>
        <patternFill>
          <bgColor rgb="FFCFC483"/>
        </patternFill>
      </fill>
    </dxf>
    <dxf>
      <font>
        <b/>
        <i val="0"/>
        <color theme="1"/>
      </font>
      <fill>
        <patternFill>
          <bgColor rgb="FFFF412D"/>
        </patternFill>
      </fill>
    </dxf>
    <dxf>
      <font>
        <b/>
        <i val="0"/>
        <color theme="1"/>
      </font>
      <fill>
        <patternFill>
          <bgColor rgb="FFFFFF00"/>
        </patternFill>
      </fill>
    </dxf>
    <dxf>
      <font>
        <b/>
        <i val="0"/>
        <color theme="1"/>
      </font>
      <fill>
        <patternFill>
          <bgColor rgb="FFFFC000"/>
        </patternFill>
      </fill>
    </dxf>
    <dxf>
      <font>
        <b/>
        <i val="0"/>
        <color theme="1"/>
      </font>
      <fill>
        <patternFill>
          <bgColor rgb="FFFFFF00"/>
        </patternFill>
      </fill>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strike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FC483"/>
      <color rgb="FF71924C"/>
      <color rgb="FF3EA053"/>
      <color rgb="FF003057"/>
      <color rgb="FFFF412D"/>
      <color rgb="FFFD5555"/>
      <color rgb="FF4C3800"/>
      <color rgb="FF6366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aster_Issue_Tracker" displayName="Master_Issue_Tracker" ref="A1:L23" totalsRowShown="0" headerRowDxfId="35" dataDxfId="34">
  <autoFilter ref="A1:L23" xr:uid="{00000000-0009-0000-0100-000002000000}"/>
  <sortState xmlns:xlrd2="http://schemas.microsoft.com/office/spreadsheetml/2017/richdata2" ref="A2:L23">
    <sortCondition ref="C1:C23"/>
  </sortState>
  <tableColumns count="12">
    <tableColumn id="1" xr3:uid="{00000000-0010-0000-0000-000001000000}" name="Issue Name" dataDxfId="33"/>
    <tableColumn id="9" xr3:uid="{00000000-0010-0000-0000-000009000000}" name="WCAG Success Criteria" dataDxfId="32"/>
    <tableColumn id="2" xr3:uid="{00000000-0010-0000-0000-000002000000}" name="Severity Level" dataDxfId="31"/>
    <tableColumn id="3" xr3:uid="{00000000-0010-0000-0000-000003000000}" name="Actual Result" dataDxfId="30"/>
    <tableColumn id="5" xr3:uid="{00000000-0010-0000-0000-000005000000}" name="Expected Result" dataDxfId="29"/>
    <tableColumn id="4" xr3:uid="{00000000-0010-0000-0000-000004000000}" name="Student Impact" dataDxfId="28"/>
    <tableColumn id="6" xr3:uid="{00000000-0010-0000-0000-000006000000}" name="Recommendation" dataDxfId="27"/>
    <tableColumn id="10" xr3:uid="{00000000-0010-0000-0000-00000A000000}" name="Issue Persistence" dataDxfId="26"/>
    <tableColumn id="8" xr3:uid="{00000000-0010-0000-0000-000008000000}" name="Detection Method" dataDxfId="25"/>
    <tableColumn id="7" xr3:uid="{00000000-0010-0000-0000-000007000000}" name="Location in Asset" dataDxfId="24"/>
    <tableColumn id="14" xr3:uid="{00000000-0010-0000-0000-00000E000000}" name="Example" dataDxfId="23" dataCellStyle="Hyperlink"/>
    <tableColumn id="13" xr3:uid="{00000000-0010-0000-0000-00000D000000}" name="Note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4" totalsRowShown="0" headerRowDxfId="21" dataDxfId="20">
  <autoFilter ref="A1:B4" xr:uid="{00000000-0009-0000-0100-000001000000}"/>
  <tableColumns count="2">
    <tableColumn id="2" xr3:uid="{00000000-0010-0000-0100-000002000000}" name="Issue Name" dataDxfId="19"/>
    <tableColumn id="3" xr3:uid="{00000000-0010-0000-0100-000003000000}" name="Exampl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B19" totalsRowShown="0" headerRowDxfId="17" dataDxfId="16">
  <autoFilter ref="A2:B19" xr:uid="{00000000-0009-0000-0100-000003000000}"/>
  <tableColumns count="2">
    <tableColumn id="1" xr3:uid="{00000000-0010-0000-0200-000001000000}" name="Browser or Tool" dataDxfId="15"/>
    <tableColumn id="2" xr3:uid="{00000000-0010-0000-0200-000002000000}" name="Version"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A56" totalsRowShown="0" headerRowDxfId="13" dataDxfId="12">
  <autoFilter ref="A1:A56" xr:uid="{00000000-0009-0000-0100-000004000000}"/>
  <sortState xmlns:xlrd2="http://schemas.microsoft.com/office/spreadsheetml/2017/richdata2" ref="A2:A56">
    <sortCondition ref="A1:A56"/>
  </sortState>
  <tableColumns count="1">
    <tableColumn id="1" xr3:uid="{00000000-0010-0000-0300-000001000000}" name="WCAG Criterion"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omptia.org/content/articles/what-is-paa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0" Type="http://schemas.openxmlformats.org/officeDocument/2006/relationships/hyperlink" Target="https://www.w3.org/TR/WCAG22/" TargetMode="External"/><Relationship Id="rId19"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table" Target="../tables/table4.xm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499984740745262"/>
  </sheetPr>
  <dimension ref="A1:K31"/>
  <sheetViews>
    <sheetView workbookViewId="0">
      <selection activeCell="B10" sqref="B10"/>
    </sheetView>
  </sheetViews>
  <sheetFormatPr defaultColWidth="8.85546875" defaultRowHeight="15" x14ac:dyDescent="0.25"/>
  <cols>
    <col min="1" max="1" width="24.140625" style="1" customWidth="1"/>
    <col min="2" max="2" width="75.28515625" style="1" customWidth="1"/>
    <col min="3" max="8" width="10.7109375" style="1" customWidth="1"/>
    <col min="9" max="10" width="8.85546875" style="1"/>
    <col min="11" max="11" width="11" style="1" bestFit="1" customWidth="1"/>
    <col min="12" max="16384" width="8.85546875" style="1"/>
  </cols>
  <sheetData>
    <row r="1" spans="1:11" ht="26.25" x14ac:dyDescent="0.25">
      <c r="A1" s="51" t="s">
        <v>0</v>
      </c>
      <c r="B1" s="51"/>
      <c r="C1" s="3"/>
      <c r="D1" s="3"/>
      <c r="E1" s="3"/>
      <c r="F1" s="3"/>
      <c r="G1" s="3"/>
      <c r="H1" s="3"/>
      <c r="I1" s="8"/>
      <c r="J1" s="8"/>
      <c r="K1" s="8"/>
    </row>
    <row r="2" spans="1:11" ht="18" x14ac:dyDescent="0.25">
      <c r="A2" s="52" t="s">
        <v>112</v>
      </c>
      <c r="B2" s="52"/>
      <c r="C2" s="4"/>
      <c r="D2" s="4"/>
      <c r="E2" s="4"/>
      <c r="F2" s="4"/>
      <c r="G2" s="4"/>
      <c r="H2" s="4"/>
      <c r="I2" s="8"/>
      <c r="J2" s="8"/>
      <c r="K2" s="8"/>
    </row>
    <row r="3" spans="1:11" ht="15.75" x14ac:dyDescent="0.25">
      <c r="A3" s="10"/>
      <c r="B3" s="11"/>
      <c r="C3" s="8"/>
      <c r="D3" s="8"/>
      <c r="E3" s="8"/>
      <c r="F3" s="8"/>
      <c r="G3" s="8"/>
      <c r="H3" s="8"/>
      <c r="I3" s="8"/>
      <c r="J3" s="8"/>
      <c r="K3" s="8"/>
    </row>
    <row r="4" spans="1:11" ht="16.5" thickBot="1" x14ac:dyDescent="0.3">
      <c r="A4" s="10"/>
      <c r="B4" s="11"/>
      <c r="C4" s="8"/>
      <c r="D4" s="8"/>
      <c r="E4" s="8"/>
      <c r="F4" s="8"/>
      <c r="G4" s="8"/>
      <c r="H4" s="8"/>
      <c r="I4" s="8"/>
      <c r="J4" s="8"/>
      <c r="K4" s="8"/>
    </row>
    <row r="5" spans="1:11" ht="15.75" x14ac:dyDescent="0.25">
      <c r="A5" s="12" t="s">
        <v>1</v>
      </c>
      <c r="B5" s="50" t="s">
        <v>229</v>
      </c>
      <c r="C5" s="20"/>
      <c r="D5" s="20"/>
      <c r="E5" s="20"/>
      <c r="F5" s="20"/>
      <c r="G5" s="20"/>
      <c r="H5" s="20"/>
      <c r="I5" s="8"/>
      <c r="J5" s="8"/>
      <c r="K5" s="21"/>
    </row>
    <row r="6" spans="1:11" ht="15.75" x14ac:dyDescent="0.25">
      <c r="A6" s="13" t="s">
        <v>2</v>
      </c>
      <c r="B6" s="50" t="s">
        <v>227</v>
      </c>
      <c r="C6" s="20"/>
      <c r="D6" s="20"/>
      <c r="E6" s="20"/>
      <c r="F6" s="20"/>
      <c r="G6" s="20"/>
      <c r="H6" s="20"/>
      <c r="I6" s="8"/>
      <c r="J6" s="8"/>
      <c r="K6" s="21"/>
    </row>
    <row r="7" spans="1:11" ht="15.75" x14ac:dyDescent="0.25">
      <c r="A7" s="13" t="s">
        <v>113</v>
      </c>
      <c r="B7" s="14" t="s">
        <v>228</v>
      </c>
      <c r="C7" s="20"/>
      <c r="D7" s="20"/>
      <c r="E7" s="20"/>
      <c r="F7" s="20"/>
      <c r="G7" s="20"/>
      <c r="H7" s="20"/>
      <c r="I7" s="8"/>
      <c r="J7" s="8"/>
      <c r="K7" s="21"/>
    </row>
    <row r="8" spans="1:11" ht="15.75" x14ac:dyDescent="0.25">
      <c r="A8" s="13" t="s">
        <v>3</v>
      </c>
      <c r="B8" s="39" t="s">
        <v>226</v>
      </c>
      <c r="D8" s="2"/>
      <c r="E8" s="2"/>
      <c r="F8" s="2"/>
      <c r="G8" s="2"/>
      <c r="H8" s="2"/>
      <c r="I8" s="8"/>
      <c r="J8" s="8"/>
      <c r="K8" s="21"/>
    </row>
    <row r="9" spans="1:11" ht="15.75" x14ac:dyDescent="0.25">
      <c r="A9" s="13" t="s">
        <v>4</v>
      </c>
      <c r="B9" s="29" t="s">
        <v>231</v>
      </c>
      <c r="C9" s="22"/>
      <c r="D9" s="20"/>
      <c r="E9" s="20"/>
      <c r="F9" s="20"/>
      <c r="G9" s="20"/>
      <c r="H9" s="20"/>
      <c r="I9" s="8"/>
      <c r="J9" s="8"/>
      <c r="K9" s="21"/>
    </row>
    <row r="10" spans="1:11" ht="15.75" x14ac:dyDescent="0.25">
      <c r="A10" s="15" t="s">
        <v>5</v>
      </c>
      <c r="B10" s="16" t="s">
        <v>133</v>
      </c>
      <c r="C10" s="22"/>
      <c r="D10" s="20"/>
      <c r="E10" s="20"/>
      <c r="F10" s="20"/>
      <c r="G10" s="20"/>
      <c r="H10" s="20"/>
      <c r="I10" s="8"/>
      <c r="J10" s="8"/>
      <c r="K10" s="21"/>
    </row>
    <row r="11" spans="1:11" ht="75" x14ac:dyDescent="0.25">
      <c r="A11" s="15" t="s">
        <v>6</v>
      </c>
      <c r="B11" s="32" t="s">
        <v>140</v>
      </c>
      <c r="C11" s="22"/>
      <c r="D11" s="20"/>
      <c r="E11" s="20"/>
      <c r="F11" s="20"/>
      <c r="G11" s="20"/>
      <c r="H11" s="20"/>
      <c r="I11" s="8"/>
      <c r="J11" s="8"/>
      <c r="K11" s="21"/>
    </row>
    <row r="12" spans="1:11" ht="15.75" x14ac:dyDescent="0.25">
      <c r="A12" s="13" t="s">
        <v>7</v>
      </c>
      <c r="B12" s="32" t="s">
        <v>127</v>
      </c>
      <c r="C12" s="20"/>
      <c r="D12" s="20"/>
      <c r="E12" s="20"/>
      <c r="F12" s="20"/>
      <c r="G12" s="20"/>
      <c r="H12" s="20"/>
      <c r="I12" s="8"/>
      <c r="J12" s="8"/>
      <c r="K12" s="23"/>
    </row>
    <row r="13" spans="1:11" ht="15.75" x14ac:dyDescent="0.25">
      <c r="A13" s="13" t="s">
        <v>8</v>
      </c>
      <c r="B13" s="17">
        <f>COUNTIF('Issue List'!C:C,"Critical")</f>
        <v>5</v>
      </c>
      <c r="C13" s="20"/>
      <c r="D13" s="20"/>
      <c r="E13" s="20"/>
      <c r="F13" s="20"/>
      <c r="G13" s="20"/>
      <c r="H13" s="20"/>
      <c r="I13" s="8"/>
      <c r="J13" s="8"/>
      <c r="K13" s="8"/>
    </row>
    <row r="14" spans="1:11" ht="15.75" x14ac:dyDescent="0.25">
      <c r="A14" s="13" t="s">
        <v>9</v>
      </c>
      <c r="B14" s="17">
        <f>COUNTIF('Issue List'!C:C,"Significant")</f>
        <v>2</v>
      </c>
      <c r="C14" s="20"/>
      <c r="D14" s="20"/>
      <c r="E14" s="20"/>
      <c r="F14" s="20"/>
      <c r="G14" s="20"/>
      <c r="H14" s="20"/>
      <c r="I14" s="8"/>
      <c r="J14" s="8"/>
      <c r="K14" s="8"/>
    </row>
    <row r="15" spans="1:11" ht="15.75" x14ac:dyDescent="0.25">
      <c r="A15" s="18" t="s">
        <v>10</v>
      </c>
      <c r="B15" s="19">
        <f>COUNTIF('Issue List'!C:C,"Minor")</f>
        <v>8</v>
      </c>
      <c r="C15" s="8"/>
      <c r="D15" s="8"/>
      <c r="E15" s="8"/>
      <c r="F15" s="8"/>
      <c r="G15" s="8"/>
      <c r="H15" s="8"/>
      <c r="I15" s="8"/>
      <c r="J15" s="8"/>
      <c r="K15" s="8"/>
    </row>
    <row r="16" spans="1:11" ht="15.75" x14ac:dyDescent="0.25">
      <c r="A16" s="8"/>
      <c r="B16" s="5"/>
      <c r="C16" s="5"/>
      <c r="D16" s="5"/>
      <c r="E16" s="5"/>
      <c r="F16" s="5"/>
      <c r="G16" s="5"/>
      <c r="H16" s="5"/>
      <c r="I16" s="8"/>
      <c r="J16" s="8"/>
      <c r="K16" s="8"/>
    </row>
    <row r="17" spans="1:11" x14ac:dyDescent="0.25">
      <c r="A17" s="8"/>
      <c r="B17" s="8"/>
      <c r="C17" s="24"/>
      <c r="D17" s="24"/>
      <c r="E17" s="24"/>
      <c r="F17" s="24"/>
      <c r="G17" s="24"/>
      <c r="H17" s="24"/>
      <c r="I17" s="8"/>
      <c r="J17" s="8"/>
      <c r="K17" s="8"/>
    </row>
    <row r="18" spans="1:11" x14ac:dyDescent="0.25">
      <c r="B18" s="8"/>
      <c r="C18" s="24"/>
      <c r="D18" s="24"/>
      <c r="E18" s="24"/>
      <c r="F18" s="24"/>
      <c r="G18" s="24"/>
      <c r="H18" s="24"/>
    </row>
    <row r="19" spans="1:11" x14ac:dyDescent="0.25">
      <c r="B19" s="8"/>
      <c r="C19" s="24"/>
      <c r="D19" s="24"/>
      <c r="E19" s="24"/>
      <c r="F19" s="24"/>
      <c r="G19" s="24"/>
      <c r="H19" s="24"/>
    </row>
    <row r="20" spans="1:11" x14ac:dyDescent="0.25">
      <c r="B20" s="8"/>
      <c r="C20" s="24"/>
      <c r="D20" s="24"/>
      <c r="E20" s="24"/>
      <c r="F20" s="24"/>
      <c r="G20" s="24"/>
      <c r="H20" s="24"/>
    </row>
    <row r="21" spans="1:11" x14ac:dyDescent="0.25">
      <c r="B21" s="8"/>
      <c r="C21" s="24"/>
      <c r="D21" s="24"/>
      <c r="E21" s="24"/>
      <c r="F21" s="24"/>
      <c r="G21" s="24"/>
      <c r="H21" s="24"/>
    </row>
    <row r="22" spans="1:11" x14ac:dyDescent="0.25">
      <c r="B22" s="8"/>
      <c r="C22" s="24"/>
      <c r="D22" s="24"/>
      <c r="E22" s="24"/>
      <c r="F22" s="24"/>
      <c r="G22" s="24"/>
      <c r="H22" s="24"/>
    </row>
    <row r="23" spans="1:11" x14ac:dyDescent="0.25">
      <c r="B23" s="8"/>
      <c r="C23" s="24"/>
      <c r="D23" s="24"/>
      <c r="E23" s="24"/>
      <c r="F23" s="24"/>
      <c r="G23" s="24"/>
      <c r="H23" s="24"/>
    </row>
    <row r="24" spans="1:11" x14ac:dyDescent="0.25">
      <c r="B24" s="8"/>
      <c r="C24" s="24"/>
      <c r="D24" s="24"/>
      <c r="E24" s="24"/>
      <c r="F24" s="24"/>
      <c r="G24" s="24"/>
      <c r="H24" s="24"/>
    </row>
    <row r="25" spans="1:11" x14ac:dyDescent="0.25">
      <c r="B25" s="8"/>
      <c r="C25" s="24"/>
      <c r="D25" s="24"/>
      <c r="E25" s="24"/>
      <c r="F25" s="24"/>
      <c r="G25" s="24"/>
      <c r="H25" s="24"/>
    </row>
    <row r="26" spans="1:11" x14ac:dyDescent="0.25">
      <c r="B26" s="8"/>
      <c r="C26" s="24"/>
      <c r="D26" s="24"/>
      <c r="E26" s="24"/>
      <c r="F26" s="24"/>
      <c r="G26" s="24"/>
      <c r="H26" s="24"/>
    </row>
    <row r="27" spans="1:11" x14ac:dyDescent="0.25">
      <c r="B27" s="8"/>
      <c r="C27" s="24"/>
      <c r="D27" s="24"/>
      <c r="E27" s="24"/>
      <c r="F27" s="24"/>
      <c r="G27" s="24"/>
      <c r="H27" s="24"/>
    </row>
    <row r="28" spans="1:11" x14ac:dyDescent="0.25">
      <c r="B28" s="8"/>
      <c r="C28" s="24"/>
      <c r="D28" s="24"/>
      <c r="E28" s="24"/>
      <c r="F28" s="24"/>
      <c r="G28" s="24"/>
      <c r="H28" s="24"/>
    </row>
    <row r="29" spans="1:11" x14ac:dyDescent="0.25">
      <c r="B29" s="8"/>
      <c r="C29" s="24"/>
      <c r="D29" s="24"/>
      <c r="E29" s="24"/>
      <c r="F29" s="24"/>
      <c r="G29" s="24"/>
      <c r="H29" s="24"/>
    </row>
    <row r="30" spans="1:11" x14ac:dyDescent="0.25">
      <c r="B30" s="8"/>
      <c r="C30" s="24"/>
      <c r="D30" s="24"/>
      <c r="E30" s="24"/>
      <c r="F30" s="24"/>
      <c r="G30" s="24"/>
      <c r="H30" s="24"/>
    </row>
    <row r="31" spans="1:11" x14ac:dyDescent="0.25">
      <c r="B31" s="8"/>
      <c r="C31" s="24"/>
      <c r="D31" s="24"/>
      <c r="E31" s="24"/>
      <c r="F31" s="24"/>
      <c r="G31" s="24"/>
      <c r="H31" s="24"/>
    </row>
  </sheetData>
  <mergeCells count="2">
    <mergeCell ref="A1:B1"/>
    <mergeCell ref="A2:B2"/>
  </mergeCells>
  <conditionalFormatting sqref="B7">
    <cfRule type="containsText" dxfId="10" priority="1" operator="containsText" text="Select one">
      <formula>NOT(ISERROR(SEARCH("Select one",B7)))</formula>
    </cfRule>
  </conditionalFormatting>
  <conditionalFormatting sqref="B10">
    <cfRule type="containsText" dxfId="9" priority="2" operator="containsText" text="Moderate Remediation">
      <formula>NOT(ISERROR(SEARCH("Moderate Remediation",B10)))</formula>
    </cfRule>
    <cfRule type="containsText" dxfId="8" priority="3" operator="containsText" text="Select a Status">
      <formula>NOT(ISERROR(SEARCH("Select a Status",B10)))</formula>
    </cfRule>
    <cfRule type="containsText" dxfId="7" priority="4" operator="containsText" text="Extensive Remediation">
      <formula>NOT(ISERROR(SEARCH("Extensive Remediation",B10)))</formula>
    </cfRule>
    <cfRule type="containsText" dxfId="6" priority="6" operator="containsText" text="Minor Remediation">
      <formula>NOT(ISERROR(SEARCH("Minor Remediation",B10)))</formula>
    </cfRule>
    <cfRule type="containsText" dxfId="5" priority="7" operator="containsText" text="No Remediation">
      <formula>NOT(ISERROR(SEARCH("No Remediation",B10)))</formula>
    </cfRule>
    <cfRule type="containsText" dxfId="4" priority="8" operator="containsText" text="Blank">
      <formula>NOT(ISERROR(SEARCH("Blank",B10)))</formula>
    </cfRule>
    <cfRule type="containsText" dxfId="3" priority="9" operator="containsText" text="Approved">
      <formula>NOT(ISERROR(SEARCH("Approved",B10)))</formula>
    </cfRule>
    <cfRule type="cellIs" dxfId="2" priority="10" operator="equal">
      <formula>"Not Approved"</formula>
    </cfRule>
    <cfRule type="cellIs" dxfId="1" priority="11" operator="equal">
      <formula>"Conditionally Approved"</formula>
    </cfRule>
    <cfRule type="cellIs" dxfId="0" priority="12" operator="equal">
      <formula>"Approved"</formula>
    </cfRule>
  </conditionalFormatting>
  <dataValidations count="2">
    <dataValidation type="list" allowBlank="1" showInputMessage="1" showErrorMessage="1" promptTitle="Select a Status" sqref="B10" xr:uid="{00000000-0002-0000-0000-000000000000}">
      <formula1>"Select a Status, No Remediation, Minor Remediation, Moderate Remediation, Extensive Remediation"</formula1>
    </dataValidation>
    <dataValidation type="list" allowBlank="1" showInputMessage="1" showErrorMessage="1" sqref="B7" xr:uid="{00000000-0002-0000-0000-000001000000}">
      <formula1>"Select one, Excel, PDF, Webpage, Word Document, Video"</formula1>
    </dataValidation>
  </dataValidations>
  <hyperlinks>
    <hyperlink ref="B8" r:id="rId1" xr:uid="{ECAABFB6-4E8F-4F0B-AF20-5D4D3A0805D1}"/>
  </hyperlinks>
  <pageMargins left="0.7" right="0.7" top="0.75" bottom="0.75" header="0.3" footer="0.3"/>
  <pageSetup orientation="portrait" horizontalDpi="100" verticalDpi="1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tint="0.59999389629810485"/>
  </sheetPr>
  <dimension ref="A1:S23"/>
  <sheetViews>
    <sheetView tabSelected="1" zoomScale="85" zoomScaleNormal="85" workbookViewId="0">
      <selection activeCell="A7" sqref="A7:XFD7"/>
    </sheetView>
  </sheetViews>
  <sheetFormatPr defaultColWidth="9.140625" defaultRowHeight="15.75" customHeight="1" x14ac:dyDescent="0.25"/>
  <cols>
    <col min="1" max="1" width="44.7109375" style="30" customWidth="1"/>
    <col min="2" max="2" width="27.7109375" style="31" customWidth="1"/>
    <col min="3" max="3" width="9.140625" style="30" customWidth="1"/>
    <col min="4" max="4" width="25.7109375" style="30" customWidth="1"/>
    <col min="5" max="5" width="21.5703125" style="30" bestFit="1" customWidth="1"/>
    <col min="6" max="6" width="21.5703125" style="30" customWidth="1"/>
    <col min="7" max="7" width="30.7109375" style="30" customWidth="1"/>
    <col min="8" max="8" width="23.140625" style="31" bestFit="1" customWidth="1"/>
    <col min="9" max="9" width="27.85546875" style="31" customWidth="1"/>
    <col min="10" max="10" width="65.42578125" style="30" customWidth="1"/>
    <col min="11" max="11" width="34.7109375" style="30" customWidth="1"/>
    <col min="12" max="12" width="44" style="31" customWidth="1"/>
    <col min="13" max="13" width="22.140625" style="31" bestFit="1" customWidth="1"/>
    <col min="14" max="14" width="18.85546875" style="30" bestFit="1" customWidth="1"/>
    <col min="15" max="15" width="27.7109375" style="31" customWidth="1"/>
    <col min="16" max="16" width="18.85546875" style="30" bestFit="1" customWidth="1"/>
    <col min="17" max="17" width="16.85546875" style="30" bestFit="1" customWidth="1"/>
    <col min="18" max="18" width="11.7109375" style="30" customWidth="1"/>
    <col min="19" max="16384" width="9.140625" style="30"/>
  </cols>
  <sheetData>
    <row r="1" spans="1:19" s="35" customFormat="1" ht="31.5" x14ac:dyDescent="0.25">
      <c r="A1" s="33" t="s">
        <v>11</v>
      </c>
      <c r="B1" s="33" t="s">
        <v>12</v>
      </c>
      <c r="C1" s="33" t="s">
        <v>13</v>
      </c>
      <c r="D1" s="33" t="s">
        <v>14</v>
      </c>
      <c r="E1" s="33" t="s">
        <v>15</v>
      </c>
      <c r="F1" s="33" t="s">
        <v>16</v>
      </c>
      <c r="G1" s="33" t="s">
        <v>17</v>
      </c>
      <c r="H1" s="33" t="s">
        <v>18</v>
      </c>
      <c r="I1" s="33" t="s">
        <v>19</v>
      </c>
      <c r="J1" s="33" t="s">
        <v>20</v>
      </c>
      <c r="K1" s="33" t="s">
        <v>21</v>
      </c>
      <c r="L1" s="33" t="s">
        <v>22</v>
      </c>
      <c r="M1" s="34"/>
      <c r="N1" s="34"/>
      <c r="O1" s="34"/>
      <c r="P1" s="34"/>
      <c r="Q1" s="34"/>
      <c r="R1" s="34"/>
      <c r="S1" s="34"/>
    </row>
    <row r="2" spans="1:19" s="35" customFormat="1" ht="36" customHeight="1" x14ac:dyDescent="0.25">
      <c r="A2" s="43" t="s">
        <v>141</v>
      </c>
      <c r="B2" s="37" t="s">
        <v>67</v>
      </c>
      <c r="C2" s="37" t="s">
        <v>116</v>
      </c>
      <c r="D2" s="38" t="s">
        <v>173</v>
      </c>
      <c r="E2" s="38" t="s">
        <v>185</v>
      </c>
      <c r="F2" s="38" t="s">
        <v>186</v>
      </c>
      <c r="G2" s="38" t="s">
        <v>187</v>
      </c>
      <c r="H2" s="37" t="s">
        <v>115</v>
      </c>
      <c r="I2" s="38" t="s">
        <v>171</v>
      </c>
      <c r="J2" s="38" t="s">
        <v>172</v>
      </c>
      <c r="K2" s="39"/>
      <c r="L2" s="37"/>
      <c r="M2" s="40"/>
      <c r="O2" s="40"/>
    </row>
    <row r="3" spans="1:19" s="35" customFormat="1" ht="36" customHeight="1" x14ac:dyDescent="0.25">
      <c r="A3" s="43" t="s">
        <v>142</v>
      </c>
      <c r="B3" s="37" t="s">
        <v>74</v>
      </c>
      <c r="C3" s="37" t="s">
        <v>116</v>
      </c>
      <c r="D3" s="38" t="s">
        <v>188</v>
      </c>
      <c r="E3" s="38" t="s">
        <v>189</v>
      </c>
      <c r="F3" s="38" t="s">
        <v>190</v>
      </c>
      <c r="G3" s="38" t="s">
        <v>191</v>
      </c>
      <c r="H3" s="37" t="s">
        <v>115</v>
      </c>
      <c r="I3" s="38" t="s">
        <v>117</v>
      </c>
      <c r="J3" s="38" t="s">
        <v>172</v>
      </c>
      <c r="K3" s="39"/>
      <c r="L3" s="37"/>
      <c r="M3" s="40"/>
      <c r="O3" s="40"/>
    </row>
    <row r="4" spans="1:19" s="35" customFormat="1" ht="39.75" customHeight="1" x14ac:dyDescent="0.25">
      <c r="A4" s="43" t="s">
        <v>143</v>
      </c>
      <c r="B4" s="37" t="s">
        <v>80</v>
      </c>
      <c r="C4" s="37" t="s">
        <v>139</v>
      </c>
      <c r="D4" s="38" t="s">
        <v>192</v>
      </c>
      <c r="E4" s="38" t="s">
        <v>193</v>
      </c>
      <c r="F4" s="38" t="s">
        <v>194</v>
      </c>
      <c r="G4" s="38" t="s">
        <v>195</v>
      </c>
      <c r="H4" s="37" t="s">
        <v>123</v>
      </c>
      <c r="I4" s="38" t="s">
        <v>196</v>
      </c>
      <c r="J4" s="38" t="s">
        <v>174</v>
      </c>
      <c r="K4" s="39"/>
      <c r="L4" s="37"/>
      <c r="M4" s="40"/>
      <c r="O4" s="40"/>
    </row>
    <row r="5" spans="1:19" s="35" customFormat="1" ht="30" customHeight="1" x14ac:dyDescent="0.25">
      <c r="A5" s="43" t="s">
        <v>144</v>
      </c>
      <c r="B5" s="37" t="s">
        <v>67</v>
      </c>
      <c r="C5" s="37" t="s">
        <v>114</v>
      </c>
      <c r="D5" s="38" t="s">
        <v>197</v>
      </c>
      <c r="E5" s="38" t="s">
        <v>198</v>
      </c>
      <c r="F5" s="38" t="s">
        <v>199</v>
      </c>
      <c r="G5" s="38" t="s">
        <v>200</v>
      </c>
      <c r="H5" s="37" t="s">
        <v>123</v>
      </c>
      <c r="I5" s="38" t="s">
        <v>163</v>
      </c>
      <c r="J5" s="38" t="s">
        <v>175</v>
      </c>
      <c r="K5" s="39"/>
      <c r="L5" s="37"/>
      <c r="M5" s="40"/>
      <c r="O5" s="40"/>
    </row>
    <row r="6" spans="1:19" s="35" customFormat="1" ht="18" customHeight="1" x14ac:dyDescent="0.25">
      <c r="A6" s="43" t="s">
        <v>145</v>
      </c>
      <c r="B6" s="37" t="s">
        <v>64</v>
      </c>
      <c r="C6" s="37" t="s">
        <v>116</v>
      </c>
      <c r="D6" s="38" t="s">
        <v>146</v>
      </c>
      <c r="E6" s="38" t="s">
        <v>201</v>
      </c>
      <c r="F6" s="38" t="s">
        <v>202</v>
      </c>
      <c r="G6" s="38" t="s">
        <v>203</v>
      </c>
      <c r="H6" s="37" t="s">
        <v>120</v>
      </c>
      <c r="I6" s="38" t="s">
        <v>196</v>
      </c>
      <c r="J6" s="38" t="s">
        <v>147</v>
      </c>
      <c r="K6" s="39"/>
      <c r="L6" s="37"/>
      <c r="M6" s="40"/>
      <c r="O6" s="40"/>
    </row>
    <row r="7" spans="1:19" s="35" customFormat="1" ht="18" customHeight="1" x14ac:dyDescent="0.25">
      <c r="A7" s="43" t="s">
        <v>148</v>
      </c>
      <c r="B7" s="37" t="s">
        <v>62</v>
      </c>
      <c r="C7" s="37" t="s">
        <v>116</v>
      </c>
      <c r="D7" s="38" t="s">
        <v>204</v>
      </c>
      <c r="E7" s="38" t="s">
        <v>205</v>
      </c>
      <c r="F7" s="38" t="s">
        <v>206</v>
      </c>
      <c r="G7" s="38" t="s">
        <v>207</v>
      </c>
      <c r="H7" s="37" t="s">
        <v>123</v>
      </c>
      <c r="I7" s="38" t="s">
        <v>150</v>
      </c>
      <c r="J7" s="38" t="s">
        <v>149</v>
      </c>
      <c r="K7" s="39"/>
      <c r="L7" s="37"/>
      <c r="M7" s="40"/>
      <c r="O7" s="40"/>
    </row>
    <row r="8" spans="1:19" s="35" customFormat="1" ht="18" customHeight="1" x14ac:dyDescent="0.25">
      <c r="A8" s="43" t="s">
        <v>151</v>
      </c>
      <c r="B8" s="37" t="s">
        <v>53</v>
      </c>
      <c r="C8" s="37" t="s">
        <v>114</v>
      </c>
      <c r="D8" s="38" t="s">
        <v>152</v>
      </c>
      <c r="E8" s="38" t="s">
        <v>118</v>
      </c>
      <c r="F8" s="37" t="s">
        <v>121</v>
      </c>
      <c r="G8" s="37" t="s">
        <v>122</v>
      </c>
      <c r="H8" s="37" t="s">
        <v>123</v>
      </c>
      <c r="I8" s="38" t="s">
        <v>163</v>
      </c>
      <c r="J8" s="38" t="s">
        <v>162</v>
      </c>
      <c r="K8" s="39"/>
      <c r="L8" s="37"/>
      <c r="M8" s="40"/>
      <c r="O8" s="40"/>
    </row>
    <row r="9" spans="1:19" s="35" customFormat="1" ht="18" customHeight="1" x14ac:dyDescent="0.25">
      <c r="A9" s="43" t="s">
        <v>135</v>
      </c>
      <c r="B9" s="37" t="s">
        <v>100</v>
      </c>
      <c r="C9" s="37" t="s">
        <v>139</v>
      </c>
      <c r="D9" s="38" t="s">
        <v>153</v>
      </c>
      <c r="E9" s="41" t="s">
        <v>136</v>
      </c>
      <c r="F9" s="41" t="s">
        <v>137</v>
      </c>
      <c r="G9" s="41" t="s">
        <v>138</v>
      </c>
      <c r="H9" s="37" t="s">
        <v>123</v>
      </c>
      <c r="I9" s="38" t="s">
        <v>154</v>
      </c>
      <c r="J9" s="38" t="s">
        <v>168</v>
      </c>
      <c r="K9" s="39"/>
      <c r="L9" s="37"/>
      <c r="M9" s="40"/>
      <c r="O9" s="40"/>
    </row>
    <row r="10" spans="1:19" s="35" customFormat="1" ht="18" customHeight="1" x14ac:dyDescent="0.25">
      <c r="A10" s="43" t="s">
        <v>155</v>
      </c>
      <c r="B10" s="37" t="s">
        <v>100</v>
      </c>
      <c r="C10" s="37" t="s">
        <v>114</v>
      </c>
      <c r="D10" s="38" t="s">
        <v>211</v>
      </c>
      <c r="E10" s="38" t="s">
        <v>208</v>
      </c>
      <c r="F10" s="38" t="s">
        <v>209</v>
      </c>
      <c r="G10" s="38" t="s">
        <v>210</v>
      </c>
      <c r="H10" s="37" t="s">
        <v>115</v>
      </c>
      <c r="I10" s="38" t="s">
        <v>117</v>
      </c>
      <c r="J10" s="38" t="s">
        <v>212</v>
      </c>
      <c r="K10" s="39"/>
      <c r="L10" s="37"/>
      <c r="M10" s="40"/>
      <c r="O10" s="40"/>
    </row>
    <row r="11" spans="1:19" s="46" customFormat="1" ht="57" customHeight="1" x14ac:dyDescent="0.25">
      <c r="A11" s="49" t="s">
        <v>161</v>
      </c>
      <c r="B11" s="44" t="s">
        <v>100</v>
      </c>
      <c r="C11" s="45" t="s">
        <v>114</v>
      </c>
      <c r="D11" s="46" t="s">
        <v>159</v>
      </c>
      <c r="E11" s="46" t="s">
        <v>156</v>
      </c>
      <c r="F11" s="46" t="s">
        <v>157</v>
      </c>
      <c r="G11" s="46" t="s">
        <v>158</v>
      </c>
      <c r="H11" s="47" t="s">
        <v>123</v>
      </c>
      <c r="I11" s="48" t="s">
        <v>117</v>
      </c>
      <c r="J11" s="46" t="s">
        <v>160</v>
      </c>
      <c r="L11" s="48"/>
      <c r="M11" s="48"/>
      <c r="O11" s="48"/>
    </row>
    <row r="12" spans="1:19" s="35" customFormat="1" ht="18" customHeight="1" x14ac:dyDescent="0.25">
      <c r="A12" s="43" t="s">
        <v>164</v>
      </c>
      <c r="B12" s="38" t="s">
        <v>77</v>
      </c>
      <c r="C12" s="37" t="s">
        <v>114</v>
      </c>
      <c r="D12" s="38" t="s">
        <v>213</v>
      </c>
      <c r="E12" s="37" t="s">
        <v>165</v>
      </c>
      <c r="F12" s="37" t="s">
        <v>166</v>
      </c>
      <c r="G12" s="37" t="s">
        <v>167</v>
      </c>
      <c r="H12" s="37" t="s">
        <v>123</v>
      </c>
      <c r="I12" s="38" t="s">
        <v>117</v>
      </c>
      <c r="J12" s="38" t="s">
        <v>176</v>
      </c>
      <c r="K12" s="39"/>
      <c r="L12" s="37"/>
      <c r="M12" s="40"/>
      <c r="O12" s="40"/>
    </row>
    <row r="13" spans="1:19" s="35" customFormat="1" ht="18" customHeight="1" x14ac:dyDescent="0.25">
      <c r="A13" s="43" t="s">
        <v>169</v>
      </c>
      <c r="B13" s="37" t="s">
        <v>47</v>
      </c>
      <c r="C13" s="37" t="s">
        <v>116</v>
      </c>
      <c r="D13" s="38" t="s">
        <v>177</v>
      </c>
      <c r="E13" s="41" t="s">
        <v>124</v>
      </c>
      <c r="F13" s="41" t="s">
        <v>125</v>
      </c>
      <c r="G13" s="41" t="s">
        <v>126</v>
      </c>
      <c r="H13" s="37" t="s">
        <v>123</v>
      </c>
      <c r="I13" s="38" t="s">
        <v>117</v>
      </c>
      <c r="J13" s="38" t="s">
        <v>178</v>
      </c>
      <c r="K13" s="39"/>
      <c r="L13" s="37"/>
      <c r="M13" s="40"/>
      <c r="O13" s="40"/>
    </row>
    <row r="14" spans="1:19" s="35" customFormat="1" ht="18" customHeight="1" x14ac:dyDescent="0.25">
      <c r="A14" s="43" t="s">
        <v>170</v>
      </c>
      <c r="B14" s="37" t="s">
        <v>100</v>
      </c>
      <c r="C14" s="37" t="s">
        <v>114</v>
      </c>
      <c r="D14" s="38" t="s">
        <v>184</v>
      </c>
      <c r="E14" s="38" t="s">
        <v>214</v>
      </c>
      <c r="F14" s="38" t="s">
        <v>215</v>
      </c>
      <c r="G14" s="38" t="s">
        <v>216</v>
      </c>
      <c r="H14" s="37" t="s">
        <v>115</v>
      </c>
      <c r="I14" s="38" t="s">
        <v>117</v>
      </c>
      <c r="J14" s="38" t="s">
        <v>179</v>
      </c>
      <c r="K14" s="39"/>
      <c r="L14" s="37"/>
      <c r="M14" s="40"/>
      <c r="O14" s="40"/>
    </row>
    <row r="15" spans="1:19" s="35" customFormat="1" ht="18" customHeight="1" x14ac:dyDescent="0.25">
      <c r="A15" s="43" t="s">
        <v>230</v>
      </c>
      <c r="B15" s="37" t="s">
        <v>59</v>
      </c>
      <c r="C15" s="37" t="s">
        <v>114</v>
      </c>
      <c r="D15" s="38" t="s">
        <v>218</v>
      </c>
      <c r="E15" s="38" t="s">
        <v>219</v>
      </c>
      <c r="F15" s="38" t="s">
        <v>220</v>
      </c>
      <c r="G15" s="38" t="s">
        <v>221</v>
      </c>
      <c r="H15" s="37" t="s">
        <v>115</v>
      </c>
      <c r="I15" s="38" t="s">
        <v>217</v>
      </c>
      <c r="J15" s="38" t="s">
        <v>180</v>
      </c>
      <c r="K15" s="39"/>
      <c r="L15" s="37"/>
      <c r="M15" s="40"/>
      <c r="O15" s="40"/>
    </row>
    <row r="16" spans="1:19" s="35" customFormat="1" ht="18" customHeight="1" x14ac:dyDescent="0.25">
      <c r="A16" s="43" t="s">
        <v>181</v>
      </c>
      <c r="B16" s="37" t="s">
        <v>92</v>
      </c>
      <c r="C16" s="37" t="s">
        <v>114</v>
      </c>
      <c r="D16" s="38" t="s">
        <v>222</v>
      </c>
      <c r="E16" s="38" t="s">
        <v>223</v>
      </c>
      <c r="F16" s="38" t="s">
        <v>224</v>
      </c>
      <c r="G16" s="38" t="s">
        <v>225</v>
      </c>
      <c r="H16" s="37" t="s">
        <v>115</v>
      </c>
      <c r="I16" s="38" t="s">
        <v>182</v>
      </c>
      <c r="J16" s="38" t="s">
        <v>183</v>
      </c>
      <c r="K16" s="39"/>
      <c r="L16" s="37"/>
      <c r="M16" s="40"/>
      <c r="O16" s="40"/>
    </row>
    <row r="17" spans="1:15" s="35" customFormat="1" ht="18" customHeight="1" x14ac:dyDescent="0.25">
      <c r="A17" s="43"/>
      <c r="B17" s="37"/>
      <c r="C17" s="37"/>
      <c r="D17" s="38"/>
      <c r="E17" s="37"/>
      <c r="F17" s="37"/>
      <c r="G17" s="37"/>
      <c r="H17" s="37"/>
      <c r="I17" s="38"/>
      <c r="J17" s="38"/>
      <c r="K17" s="39"/>
      <c r="L17" s="37"/>
      <c r="M17" s="40"/>
      <c r="O17" s="40"/>
    </row>
    <row r="18" spans="1:15" s="35" customFormat="1" ht="18" customHeight="1" x14ac:dyDescent="0.25">
      <c r="A18" s="43"/>
      <c r="B18" s="37"/>
      <c r="C18" s="37"/>
      <c r="D18" s="38"/>
      <c r="E18" s="37"/>
      <c r="F18" s="37"/>
      <c r="G18" s="37"/>
      <c r="H18" s="37"/>
      <c r="I18" s="38"/>
      <c r="J18" s="38"/>
      <c r="K18" s="39"/>
      <c r="L18" s="37"/>
      <c r="M18" s="40"/>
      <c r="O18" s="40"/>
    </row>
    <row r="19" spans="1:15" s="35" customFormat="1" ht="18" customHeight="1" x14ac:dyDescent="0.25">
      <c r="A19" s="36"/>
      <c r="B19" s="37"/>
      <c r="C19" s="37"/>
      <c r="D19" s="38"/>
      <c r="E19" s="37"/>
      <c r="F19" s="37"/>
      <c r="G19" s="37"/>
      <c r="H19" s="37"/>
      <c r="I19" s="38"/>
      <c r="J19" s="38"/>
      <c r="K19" s="39"/>
      <c r="L19" s="37"/>
      <c r="M19" s="40"/>
      <c r="O19" s="40"/>
    </row>
    <row r="20" spans="1:15" s="35" customFormat="1" ht="18" customHeight="1" x14ac:dyDescent="0.25">
      <c r="A20" s="36"/>
      <c r="B20" s="37"/>
      <c r="C20" s="37"/>
      <c r="D20" s="38"/>
      <c r="E20" s="37"/>
      <c r="F20" s="37"/>
      <c r="G20" s="37"/>
      <c r="H20" s="37"/>
      <c r="I20" s="38"/>
      <c r="J20" s="38"/>
      <c r="K20" s="39"/>
      <c r="L20" s="37"/>
      <c r="M20" s="40"/>
      <c r="O20" s="40"/>
    </row>
    <row r="21" spans="1:15" s="35" customFormat="1" ht="18" customHeight="1" x14ac:dyDescent="0.25">
      <c r="A21" s="36"/>
      <c r="B21" s="37"/>
      <c r="C21" s="37"/>
      <c r="D21" s="38"/>
      <c r="E21" s="37"/>
      <c r="F21" s="37"/>
      <c r="G21" s="37"/>
      <c r="H21" s="37"/>
      <c r="I21" s="38"/>
      <c r="J21" s="38"/>
      <c r="K21" s="39"/>
      <c r="L21" s="37"/>
      <c r="M21" s="40"/>
      <c r="O21" s="40"/>
    </row>
    <row r="22" spans="1:15" s="35" customFormat="1" ht="18" customHeight="1" x14ac:dyDescent="0.25">
      <c r="A22" s="36"/>
      <c r="B22" s="37"/>
      <c r="C22" s="37"/>
      <c r="D22" s="38"/>
      <c r="E22" s="37"/>
      <c r="F22" s="37"/>
      <c r="G22" s="37"/>
      <c r="H22" s="37"/>
      <c r="I22" s="38"/>
      <c r="J22" s="38"/>
      <c r="K22" s="39"/>
      <c r="L22" s="37"/>
      <c r="M22" s="40"/>
      <c r="O22" s="40"/>
    </row>
    <row r="23" spans="1:15" s="35" customFormat="1" ht="18" customHeight="1" x14ac:dyDescent="0.25">
      <c r="A23" s="36"/>
      <c r="B23" s="37"/>
      <c r="C23" s="37"/>
      <c r="D23" s="38"/>
      <c r="E23" s="37"/>
      <c r="F23" s="37"/>
      <c r="G23" s="37"/>
      <c r="H23" s="37"/>
      <c r="I23" s="38"/>
      <c r="J23" s="38"/>
      <c r="K23" s="39"/>
      <c r="L23" s="37"/>
      <c r="M23" s="40"/>
      <c r="O23" s="40"/>
    </row>
  </sheetData>
  <dataValidations count="3">
    <dataValidation type="list" allowBlank="1" showInputMessage="1" showErrorMessage="1" promptTitle="Severity Level" prompt="Critical - Stops all progress_x000a_Significant - Interferes with progress_x000a_Minor - Annoyance" sqref="C2:C23" xr:uid="{00000000-0002-0000-0100-000002000000}">
      <formula1>"Minor, Significant, Critical"</formula1>
    </dataValidation>
    <dataValidation type="list" allowBlank="1" showInputMessage="1" showErrorMessage="1" promptTitle="Issue Persistence" prompt="Global - The entire product_x000a_Partial - Several instances_x000a_Single - A single instance" sqref="H12:H23 H2:H10" xr:uid="{00000000-0002-0000-0100-000003000000}">
      <formula1>"Global, Partial, Single"</formula1>
    </dataValidation>
    <dataValidation type="list" allowBlank="1" showInputMessage="1" showErrorMessage="1" prompt="Issue Persistence - Global - The entire product_x000a_Partial - Several instances_x000a_Single - A single instance" sqref="H11" xr:uid="{00000000-0002-0000-0100-000001000000}">
      <formula1>"Global,Partial,Single"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promptTitle="WCAG Success Criteria" prompt="Select all applicable criteria for each issue." xr:uid="{4F197AFF-DC73-404A-8A68-D46C4702DBF2}">
          <x14:formula1>
            <xm:f>'WCAG 2.2 A-AA'!$A$2:$A$56</xm:f>
          </x14:formula1>
          <xm:sqref>B2:B23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tint="0.59999389629810485"/>
  </sheetPr>
  <dimension ref="A1:B3"/>
  <sheetViews>
    <sheetView workbookViewId="0">
      <selection activeCell="B3" sqref="B3"/>
    </sheetView>
  </sheetViews>
  <sheetFormatPr defaultColWidth="9.140625" defaultRowHeight="15" x14ac:dyDescent="0.2"/>
  <cols>
    <col min="1" max="1" width="26.7109375" style="7" customWidth="1"/>
    <col min="2" max="2" width="112.7109375" style="7" customWidth="1"/>
    <col min="3" max="16384" width="9.140625" style="7"/>
  </cols>
  <sheetData>
    <row r="1" spans="1:2" x14ac:dyDescent="0.2">
      <c r="A1" s="9" t="s">
        <v>11</v>
      </c>
      <c r="B1" s="9" t="s">
        <v>21</v>
      </c>
    </row>
    <row r="2" spans="1:2" ht="30" x14ac:dyDescent="0.2">
      <c r="A2" s="28" t="s">
        <v>131</v>
      </c>
      <c r="B2" s="42" t="s">
        <v>130</v>
      </c>
    </row>
    <row r="3" spans="1:2" ht="30" x14ac:dyDescent="0.2">
      <c r="A3" s="28" t="s">
        <v>119</v>
      </c>
      <c r="B3" s="42" t="s">
        <v>132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499984740745262"/>
  </sheetPr>
  <dimension ref="A1:B19"/>
  <sheetViews>
    <sheetView workbookViewId="0">
      <selection activeCell="B4" sqref="B4"/>
    </sheetView>
  </sheetViews>
  <sheetFormatPr defaultRowHeight="15" x14ac:dyDescent="0.25"/>
  <cols>
    <col min="1" max="1" width="43.42578125" customWidth="1"/>
    <col min="2" max="2" width="26.28515625" customWidth="1"/>
  </cols>
  <sheetData>
    <row r="1" spans="1:2" ht="18" x14ac:dyDescent="0.25">
      <c r="A1" s="53" t="s">
        <v>23</v>
      </c>
      <c r="B1" s="53"/>
    </row>
    <row r="2" spans="1:2" x14ac:dyDescent="0.25">
      <c r="A2" s="25" t="s">
        <v>24</v>
      </c>
      <c r="B2" s="24" t="s">
        <v>25</v>
      </c>
    </row>
    <row r="3" spans="1:2" x14ac:dyDescent="0.25">
      <c r="A3" s="26" t="s">
        <v>26</v>
      </c>
      <c r="B3" s="27" t="s">
        <v>134</v>
      </c>
    </row>
    <row r="4" spans="1:2" x14ac:dyDescent="0.25">
      <c r="A4" s="26" t="s">
        <v>27</v>
      </c>
      <c r="B4" s="27"/>
    </row>
    <row r="5" spans="1:2" x14ac:dyDescent="0.25">
      <c r="A5" s="26" t="s">
        <v>28</v>
      </c>
      <c r="B5" s="27" t="s">
        <v>128</v>
      </c>
    </row>
    <row r="6" spans="1:2" x14ac:dyDescent="0.25">
      <c r="A6" s="26" t="s">
        <v>29</v>
      </c>
      <c r="B6" s="27" t="s">
        <v>104</v>
      </c>
    </row>
    <row r="7" spans="1:2" x14ac:dyDescent="0.25">
      <c r="A7" s="26" t="s">
        <v>30</v>
      </c>
      <c r="B7" s="27" t="s">
        <v>105</v>
      </c>
    </row>
    <row r="8" spans="1:2" x14ac:dyDescent="0.25">
      <c r="A8" s="26" t="s">
        <v>31</v>
      </c>
      <c r="B8" s="27" t="s">
        <v>129</v>
      </c>
    </row>
    <row r="9" spans="1:2" ht="15" customHeight="1" x14ac:dyDescent="0.25">
      <c r="A9" s="26" t="s">
        <v>32</v>
      </c>
      <c r="B9" s="27" t="s">
        <v>107</v>
      </c>
    </row>
    <row r="10" spans="1:2" x14ac:dyDescent="0.25">
      <c r="A10" s="26" t="s">
        <v>33</v>
      </c>
      <c r="B10" s="27" t="s">
        <v>34</v>
      </c>
    </row>
    <row r="11" spans="1:2" x14ac:dyDescent="0.25">
      <c r="A11" s="26" t="s">
        <v>35</v>
      </c>
      <c r="B11" s="27" t="s">
        <v>36</v>
      </c>
    </row>
    <row r="12" spans="1:2" x14ac:dyDescent="0.25">
      <c r="A12" s="26" t="s">
        <v>37</v>
      </c>
      <c r="B12" s="27" t="s">
        <v>38</v>
      </c>
    </row>
    <row r="13" spans="1:2" x14ac:dyDescent="0.25">
      <c r="A13" s="26" t="s">
        <v>39</v>
      </c>
      <c r="B13" s="27" t="s">
        <v>106</v>
      </c>
    </row>
    <row r="14" spans="1:2" x14ac:dyDescent="0.25">
      <c r="A14" s="26" t="s">
        <v>40</v>
      </c>
      <c r="B14" s="27" t="s">
        <v>41</v>
      </c>
    </row>
    <row r="15" spans="1:2" x14ac:dyDescent="0.25">
      <c r="A15" s="26" t="s">
        <v>42</v>
      </c>
      <c r="B15" s="27" t="s">
        <v>108</v>
      </c>
    </row>
    <row r="16" spans="1:2" x14ac:dyDescent="0.25">
      <c r="A16" s="26" t="s">
        <v>43</v>
      </c>
      <c r="B16" s="27" t="s">
        <v>109</v>
      </c>
    </row>
    <row r="17" spans="1:2" x14ac:dyDescent="0.25">
      <c r="A17" s="26" t="s">
        <v>44</v>
      </c>
      <c r="B17" s="27" t="s">
        <v>110</v>
      </c>
    </row>
    <row r="18" spans="1:2" x14ac:dyDescent="0.25">
      <c r="A18" s="26" t="s">
        <v>45</v>
      </c>
      <c r="B18" s="27" t="s">
        <v>111</v>
      </c>
    </row>
    <row r="19" spans="1:2" x14ac:dyDescent="0.25">
      <c r="A19" s="27" t="s">
        <v>102</v>
      </c>
      <c r="B19" s="27" t="s">
        <v>103</v>
      </c>
    </row>
  </sheetData>
  <mergeCells count="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499984740745262"/>
  </sheetPr>
  <dimension ref="A1:A56"/>
  <sheetViews>
    <sheetView workbookViewId="0">
      <selection activeCell="B53" sqref="B53"/>
    </sheetView>
  </sheetViews>
  <sheetFormatPr defaultRowHeight="15" x14ac:dyDescent="0.25"/>
  <cols>
    <col min="1" max="1" width="63.140625" bestFit="1" customWidth="1"/>
  </cols>
  <sheetData>
    <row r="1" spans="1:1" ht="15.75" x14ac:dyDescent="0.25">
      <c r="A1" s="9" t="s">
        <v>46</v>
      </c>
    </row>
    <row r="2" spans="1:1" ht="15.75" x14ac:dyDescent="0.25">
      <c r="A2" s="6" t="s">
        <v>47</v>
      </c>
    </row>
    <row r="3" spans="1:1" ht="15.75" x14ac:dyDescent="0.25">
      <c r="A3" s="6" t="s">
        <v>48</v>
      </c>
    </row>
    <row r="4" spans="1:1" ht="15.75" x14ac:dyDescent="0.25">
      <c r="A4" s="6" t="s">
        <v>49</v>
      </c>
    </row>
    <row r="5" spans="1:1" ht="15.75" x14ac:dyDescent="0.25">
      <c r="A5" s="6" t="s">
        <v>50</v>
      </c>
    </row>
    <row r="6" spans="1:1" ht="15.75" x14ac:dyDescent="0.25">
      <c r="A6" s="6" t="s">
        <v>51</v>
      </c>
    </row>
    <row r="7" spans="1:1" ht="15.75" x14ac:dyDescent="0.25">
      <c r="A7" s="6" t="s">
        <v>52</v>
      </c>
    </row>
    <row r="8" spans="1:1" ht="15.75" x14ac:dyDescent="0.25">
      <c r="A8" s="6" t="s">
        <v>53</v>
      </c>
    </row>
    <row r="9" spans="1:1" ht="15.75" x14ac:dyDescent="0.25">
      <c r="A9" s="6" t="s">
        <v>54</v>
      </c>
    </row>
    <row r="10" spans="1:1" ht="15.75" x14ac:dyDescent="0.25">
      <c r="A10" s="6" t="s">
        <v>55</v>
      </c>
    </row>
    <row r="11" spans="1:1" ht="15.75" x14ac:dyDescent="0.25">
      <c r="A11" s="6" t="s">
        <v>56</v>
      </c>
    </row>
    <row r="12" spans="1:1" ht="15.75" x14ac:dyDescent="0.25">
      <c r="A12" s="6" t="s">
        <v>57</v>
      </c>
    </row>
    <row r="13" spans="1:1" ht="15.75" x14ac:dyDescent="0.25">
      <c r="A13" s="6" t="s">
        <v>58</v>
      </c>
    </row>
    <row r="14" spans="1:1" ht="15.75" x14ac:dyDescent="0.25">
      <c r="A14" s="6" t="s">
        <v>59</v>
      </c>
    </row>
    <row r="15" spans="1:1" ht="15.75" x14ac:dyDescent="0.25">
      <c r="A15" s="6" t="s">
        <v>60</v>
      </c>
    </row>
    <row r="16" spans="1:1" ht="15.75" x14ac:dyDescent="0.25">
      <c r="A16" s="6" t="s">
        <v>61</v>
      </c>
    </row>
    <row r="17" spans="1:1" ht="15.75" x14ac:dyDescent="0.25">
      <c r="A17" s="6" t="s">
        <v>62</v>
      </c>
    </row>
    <row r="18" spans="1:1" ht="15.75" x14ac:dyDescent="0.25">
      <c r="A18" s="6" t="s">
        <v>63</v>
      </c>
    </row>
    <row r="19" spans="1:1" ht="15.75" x14ac:dyDescent="0.25">
      <c r="A19" s="6" t="s">
        <v>64</v>
      </c>
    </row>
    <row r="20" spans="1:1" ht="15.75" x14ac:dyDescent="0.25">
      <c r="A20" s="6" t="s">
        <v>65</v>
      </c>
    </row>
    <row r="21" spans="1:1" ht="15.75" x14ac:dyDescent="0.25">
      <c r="A21" s="6" t="s">
        <v>66</v>
      </c>
    </row>
    <row r="22" spans="1:1" ht="15.75" x14ac:dyDescent="0.25">
      <c r="A22" s="6" t="s">
        <v>67</v>
      </c>
    </row>
    <row r="23" spans="1:1" ht="15.75" x14ac:dyDescent="0.25">
      <c r="A23" s="6" t="s">
        <v>68</v>
      </c>
    </row>
    <row r="24" spans="1:1" ht="15.75" x14ac:dyDescent="0.25">
      <c r="A24" s="6" t="s">
        <v>69</v>
      </c>
    </row>
    <row r="25" spans="1:1" ht="15.75" x14ac:dyDescent="0.25">
      <c r="A25" s="6" t="s">
        <v>70</v>
      </c>
    </row>
    <row r="26" spans="1:1" ht="15.75" x14ac:dyDescent="0.25">
      <c r="A26" s="6" t="s">
        <v>71</v>
      </c>
    </row>
    <row r="27" spans="1:1" ht="15.75" x14ac:dyDescent="0.25">
      <c r="A27" s="6" t="s">
        <v>72</v>
      </c>
    </row>
    <row r="28" spans="1:1" ht="15.75" x14ac:dyDescent="0.25">
      <c r="A28" s="6" t="s">
        <v>73</v>
      </c>
    </row>
    <row r="29" spans="1:1" ht="15.75" x14ac:dyDescent="0.25">
      <c r="A29" s="6" t="s">
        <v>74</v>
      </c>
    </row>
    <row r="30" spans="1:1" ht="15.75" x14ac:dyDescent="0.25">
      <c r="A30" s="6" t="s">
        <v>75</v>
      </c>
    </row>
    <row r="31" spans="1:1" ht="15.75" x14ac:dyDescent="0.25">
      <c r="A31" s="6" t="s">
        <v>76</v>
      </c>
    </row>
    <row r="32" spans="1:1" ht="15.75" x14ac:dyDescent="0.25">
      <c r="A32" s="6" t="s">
        <v>77</v>
      </c>
    </row>
    <row r="33" spans="1:1" ht="15.75" x14ac:dyDescent="0.25">
      <c r="A33" s="6" t="s">
        <v>78</v>
      </c>
    </row>
    <row r="34" spans="1:1" ht="15.75" x14ac:dyDescent="0.25">
      <c r="A34" s="6" t="s">
        <v>79</v>
      </c>
    </row>
    <row r="35" spans="1:1" ht="15.75" x14ac:dyDescent="0.25">
      <c r="A35" s="6" t="s">
        <v>80</v>
      </c>
    </row>
    <row r="36" spans="1:1" ht="15.75" x14ac:dyDescent="0.25">
      <c r="A36" s="6" t="s">
        <v>81</v>
      </c>
    </row>
    <row r="37" spans="1:1" ht="15.75" x14ac:dyDescent="0.25">
      <c r="A37" s="6" t="s">
        <v>82</v>
      </c>
    </row>
    <row r="38" spans="1:1" ht="15.75" x14ac:dyDescent="0.25">
      <c r="A38" s="6" t="s">
        <v>83</v>
      </c>
    </row>
    <row r="39" spans="1:1" ht="15.75" x14ac:dyDescent="0.25">
      <c r="A39" s="6" t="s">
        <v>84</v>
      </c>
    </row>
    <row r="40" spans="1:1" ht="15.75" x14ac:dyDescent="0.25">
      <c r="A40" s="6" t="s">
        <v>85</v>
      </c>
    </row>
    <row r="41" spans="1:1" ht="15.75" x14ac:dyDescent="0.25">
      <c r="A41" s="6" t="s">
        <v>86</v>
      </c>
    </row>
    <row r="42" spans="1:1" ht="15.75" x14ac:dyDescent="0.25">
      <c r="A42" s="6" t="s">
        <v>87</v>
      </c>
    </row>
    <row r="43" spans="1:1" ht="15.75" x14ac:dyDescent="0.25">
      <c r="A43" s="6" t="s">
        <v>88</v>
      </c>
    </row>
    <row r="44" spans="1:1" ht="15.75" x14ac:dyDescent="0.25">
      <c r="A44" s="6" t="s">
        <v>89</v>
      </c>
    </row>
    <row r="45" spans="1:1" ht="15.75" x14ac:dyDescent="0.25">
      <c r="A45" s="6" t="s">
        <v>90</v>
      </c>
    </row>
    <row r="46" spans="1:1" ht="15.75" x14ac:dyDescent="0.25">
      <c r="A46" s="6" t="s">
        <v>91</v>
      </c>
    </row>
    <row r="47" spans="1:1" ht="15.75" x14ac:dyDescent="0.25">
      <c r="A47" s="6" t="s">
        <v>92</v>
      </c>
    </row>
    <row r="48" spans="1:1" ht="15.75" x14ac:dyDescent="0.25">
      <c r="A48" s="6" t="s">
        <v>93</v>
      </c>
    </row>
    <row r="49" spans="1:1" ht="15.75" x14ac:dyDescent="0.25">
      <c r="A49" s="6" t="s">
        <v>94</v>
      </c>
    </row>
    <row r="50" spans="1:1" ht="15.75" x14ac:dyDescent="0.25">
      <c r="A50" s="6" t="s">
        <v>95</v>
      </c>
    </row>
    <row r="51" spans="1:1" ht="15.75" x14ac:dyDescent="0.25">
      <c r="A51" s="6" t="s">
        <v>96</v>
      </c>
    </row>
    <row r="52" spans="1:1" s="6" customFormat="1" x14ac:dyDescent="0.2">
      <c r="A52" s="6" t="s">
        <v>97</v>
      </c>
    </row>
    <row r="53" spans="1:1" ht="15.75" x14ac:dyDescent="0.25">
      <c r="A53" s="6" t="s">
        <v>98</v>
      </c>
    </row>
    <row r="54" spans="1:1" ht="15.75" x14ac:dyDescent="0.25">
      <c r="A54" s="6" t="s">
        <v>99</v>
      </c>
    </row>
    <row r="55" spans="1:1" ht="15.75" x14ac:dyDescent="0.25">
      <c r="A55" s="6" t="s">
        <v>100</v>
      </c>
    </row>
    <row r="56" spans="1:1" ht="15.75" x14ac:dyDescent="0.25">
      <c r="A56" s="6" t="s">
        <v>101</v>
      </c>
    </row>
  </sheetData>
  <hyperlinks>
    <hyperlink ref="A2" r:id="rId1" location="non-text-content" xr:uid="{00000000-0004-0000-0400-000000000000}"/>
    <hyperlink ref="A3" r:id="rId2" location="audio-only-and-video-only-prerecorded" xr:uid="{00000000-0004-0000-0400-000001000000}"/>
    <hyperlink ref="A4" r:id="rId3" location="captions-prerecorded" xr:uid="{00000000-0004-0000-0400-000002000000}"/>
    <hyperlink ref="A5" r:id="rId4" location="audio-description-or-media-alternative-prerecorded" xr:uid="{00000000-0004-0000-0400-000003000000}"/>
    <hyperlink ref="A6" r:id="rId5" location="captions-live" xr:uid="{00000000-0004-0000-0400-000004000000}"/>
    <hyperlink ref="A7" r:id="rId6" location="audio-description-prerecorded" xr:uid="{00000000-0004-0000-0400-000005000000}"/>
    <hyperlink ref="A8" r:id="rId7" location="info-and-relationships" xr:uid="{00000000-0004-0000-0400-000006000000}"/>
    <hyperlink ref="A9" r:id="rId8" location="meaningful-sequence" xr:uid="{00000000-0004-0000-0400-000007000000}"/>
    <hyperlink ref="A10" r:id="rId9" location="sensory-characteristics" xr:uid="{00000000-0004-0000-0400-000008000000}"/>
    <hyperlink ref="A11" r:id="rId10" location="orientation" xr:uid="{00000000-0004-0000-0400-000009000000}"/>
    <hyperlink ref="A12" r:id="rId11" location="identify-input-purpose" xr:uid="{00000000-0004-0000-0400-00000A000000}"/>
    <hyperlink ref="A13" r:id="rId12" location="use-of-color" xr:uid="{00000000-0004-0000-0400-00000B000000}"/>
    <hyperlink ref="A18" r:id="rId13" location="audio-control" xr:uid="{00000000-0004-0000-0400-00000C000000}"/>
    <hyperlink ref="A19" r:id="rId14" location="contrast-minimum" xr:uid="{00000000-0004-0000-0400-00000D000000}"/>
    <hyperlink ref="A20" r:id="rId15" location="resize-text" xr:uid="{00000000-0004-0000-0400-00000E000000}"/>
    <hyperlink ref="A21" r:id="rId16" location="images-of-text" xr:uid="{00000000-0004-0000-0400-00000F000000}"/>
    <hyperlink ref="A14" r:id="rId17" location="reflow" xr:uid="{00000000-0004-0000-0400-000010000000}"/>
    <hyperlink ref="A15" r:id="rId18" location="non-text-contrast" xr:uid="{00000000-0004-0000-0400-000011000000}"/>
    <hyperlink ref="A16" r:id="rId19" location="text-spacing" xr:uid="{00000000-0004-0000-0400-000012000000}"/>
    <hyperlink ref="A17" r:id="rId20" location="content-on-hover-or-focus" xr:uid="{00000000-0004-0000-0400-000013000000}"/>
    <hyperlink ref="A22" r:id="rId21" location="keyboard" xr:uid="{00000000-0004-0000-0400-000014000000}"/>
    <hyperlink ref="A23" r:id="rId22" location="no-keyboard-trap" xr:uid="{00000000-0004-0000-0400-000015000000}"/>
    <hyperlink ref="A24" r:id="rId23" location="character-key-shortcuts" xr:uid="{00000000-0004-0000-0400-000016000000}"/>
    <hyperlink ref="A25" r:id="rId24" location="timing-adjustable" xr:uid="{00000000-0004-0000-0400-000017000000}"/>
    <hyperlink ref="A26" r:id="rId25" location="pause-stop-hide" xr:uid="{00000000-0004-0000-0400-000018000000}"/>
    <hyperlink ref="A27" r:id="rId26" location="three-flashes-or-below-threshold" xr:uid="{00000000-0004-0000-0400-000019000000}"/>
    <hyperlink ref="A28" r:id="rId27" location="bypass-blocks" xr:uid="{00000000-0004-0000-0400-00001A000000}"/>
    <hyperlink ref="A30" r:id="rId28" location="page-titled" xr:uid="{00000000-0004-0000-0400-00001B000000}"/>
    <hyperlink ref="A31" r:id="rId29" location="focus-order" xr:uid="{00000000-0004-0000-0400-00001C000000}"/>
    <hyperlink ref="A32" r:id="rId30" location="link-purpose-in-context" xr:uid="{00000000-0004-0000-0400-00001D000000}"/>
    <hyperlink ref="A33" r:id="rId31" location="multiple-ways" xr:uid="{00000000-0004-0000-0400-00001E000000}"/>
    <hyperlink ref="A34" r:id="rId32" location="headings-and-labels" xr:uid="{00000000-0004-0000-0400-00001F000000}"/>
    <hyperlink ref="A35" r:id="rId33" location="focus-visible" xr:uid="{00000000-0004-0000-0400-000020000000}"/>
    <hyperlink ref="A29" r:id="rId34" location="focus-not-obscured-minimum" xr:uid="{00000000-0004-0000-0400-000021000000}"/>
    <hyperlink ref="A36" r:id="rId35" location="pointer-gestures" xr:uid="{00000000-0004-0000-0400-000022000000}"/>
    <hyperlink ref="A37" r:id="rId36" location="pointer-cancellation" xr:uid="{00000000-0004-0000-0400-000023000000}"/>
    <hyperlink ref="A38" r:id="rId37" location="label-in-name" xr:uid="{00000000-0004-0000-0400-000024000000}"/>
    <hyperlink ref="A39" r:id="rId38" location="motion-actuation" xr:uid="{00000000-0004-0000-0400-000025000000}"/>
    <hyperlink ref="A40" r:id="rId39" location="dragging-movements" xr:uid="{00000000-0004-0000-0400-000026000000}"/>
    <hyperlink ref="A41" r:id="rId40" location="target-size-minimum" xr:uid="{00000000-0004-0000-0400-000027000000}"/>
    <hyperlink ref="A42" r:id="rId41" location="language-of-page" xr:uid="{00000000-0004-0000-0400-000028000000}"/>
    <hyperlink ref="A43" r:id="rId42" location="language-of-parts" xr:uid="{00000000-0004-0000-0400-000029000000}"/>
    <hyperlink ref="A44" r:id="rId43" location="on-focus" xr:uid="{00000000-0004-0000-0400-00002A000000}"/>
    <hyperlink ref="A45" r:id="rId44" location="on-input" xr:uid="{00000000-0004-0000-0400-00002B000000}"/>
    <hyperlink ref="A46" r:id="rId45" location="consistent-navigation" xr:uid="{00000000-0004-0000-0400-00002C000000}"/>
    <hyperlink ref="A47" r:id="rId46" location="consistent-identification" xr:uid="{00000000-0004-0000-0400-00002D000000}"/>
    <hyperlink ref="A48" r:id="rId47" location="consistent-help" xr:uid="{00000000-0004-0000-0400-00002E000000}"/>
    <hyperlink ref="A49" r:id="rId48" location="error-identification" xr:uid="{00000000-0004-0000-0400-00002F000000}"/>
    <hyperlink ref="A50" r:id="rId49" location="labels-or-instructions" xr:uid="{00000000-0004-0000-0400-000030000000}"/>
    <hyperlink ref="A51" r:id="rId50" location="error-suggestion" xr:uid="{00000000-0004-0000-0400-000031000000}"/>
    <hyperlink ref="A52" r:id="rId51" location="error-prevention-legal-financial-data" xr:uid="{00000000-0004-0000-0400-000032000000}"/>
    <hyperlink ref="A53" r:id="rId52" location="redundant-entry" xr:uid="{00000000-0004-0000-0400-000033000000}"/>
    <hyperlink ref="A54" r:id="rId53" location="accessible-authentication-minimum" xr:uid="{00000000-0004-0000-0400-000034000000}"/>
    <hyperlink ref="A52:XFD52" r:id="rId54" location="name-role-value" display="4.1.2 Name, Role, Value (A)" xr:uid="{00000000-0004-0000-0400-000035000000}"/>
    <hyperlink ref="A56" r:id="rId55" location="status-messages" xr:uid="{00000000-0004-0000-0400-000036000000}"/>
  </hyperlinks>
  <pageMargins left="0.7" right="0.7" top="0.75" bottom="0.75" header="0.3" footer="0.3"/>
  <tableParts count="1">
    <tablePart r:id="rId5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136b370-9b09-4dfc-9b03-08bd01f60bbc">
      <Terms xmlns="http://schemas.microsoft.com/office/infopath/2007/PartnerControls"/>
    </lcf76f155ced4ddcb4097134ff3c332f>
    <TaxCatchAll xmlns="a012520c-71f8-4b72-ada1-3c6aba3b7b8c" xsi:nil="true"/>
    <SharedWithUsers xmlns="a012520c-71f8-4b72-ada1-3c6aba3b7b8c">
      <UserInfo>
        <DisplayName>Vennila Duraisamy</DisplayName>
        <AccountId>545</AccountId>
        <AccountType/>
      </UserInfo>
      <UserInfo>
        <DisplayName>Hannah Chipman</DisplayName>
        <AccountId>418</AccountId>
        <AccountType/>
      </UserInfo>
      <UserInfo>
        <DisplayName>Igor Shcherbinin</DisplayName>
        <AccountId>349</AccountId>
        <AccountType/>
      </UserInfo>
      <UserInfo>
        <DisplayName>Scott Boren</DisplayName>
        <AccountId>539</AccountId>
        <AccountType/>
      </UserInfo>
      <UserInfo>
        <DisplayName>Kristen Riquino</DisplayName>
        <AccountId>461</AccountId>
        <AccountType/>
      </UserInfo>
      <UserInfo>
        <DisplayName>Sangeetha Vinod</DisplayName>
        <AccountId>525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87500F3657D74CBF050189AB045EBB" ma:contentTypeVersion="18" ma:contentTypeDescription="Create a new document." ma:contentTypeScope="" ma:versionID="7426d220f69b615140e7498b8476b412">
  <xsd:schema xmlns:xsd="http://www.w3.org/2001/XMLSchema" xmlns:xs="http://www.w3.org/2001/XMLSchema" xmlns:p="http://schemas.microsoft.com/office/2006/metadata/properties" xmlns:ns2="6136b370-9b09-4dfc-9b03-08bd01f60bbc" xmlns:ns3="a012520c-71f8-4b72-ada1-3c6aba3b7b8c" targetNamespace="http://schemas.microsoft.com/office/2006/metadata/properties" ma:root="true" ma:fieldsID="bdc5e56295a65ad51db03f49f0933321" ns2:_="" ns3:_="">
    <xsd:import namespace="6136b370-9b09-4dfc-9b03-08bd01f60bbc"/>
    <xsd:import namespace="a012520c-71f8-4b72-ada1-3c6aba3b7b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6b370-9b09-4dfc-9b03-08bd01f60bb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cb2b71a-ac8b-4347-9f63-f75d234e2459" ma:termSetId="09814cd3-568e-fe90-9814-8d621ff8fb84" ma:anchorId="fba54fb3-c3e1-fe81-a776-ca4b69148c4d" ma:open="true" ma:isKeyword="false">
      <xsd:complexType>
        <xsd:sequence>
          <xsd:element ref="pc:Terms" minOccurs="0" maxOccurs="1"/>
        </xsd:sequence>
      </xsd:complex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12520c-71f8-4b72-ada1-3c6aba3b7b8c"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a8779c9a-ea62-449c-a586-3b8813e78c07}" ma:internalName="TaxCatchAll" ma:showField="CatchAllData" ma:web="a012520c-71f8-4b72-ada1-3c6aba3b7b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C3EFBCBB-9C9D-4F6B-8D5A-EDC7AF7105C7}">
  <ds:schemaRefs>
    <ds:schemaRef ds:uri="http://schemas.microsoft.com/office/2006/metadata/properties"/>
    <ds:schemaRef ds:uri="http://schemas.microsoft.com/office/infopath/2007/PartnerControls"/>
    <ds:schemaRef ds:uri="6136b370-9b09-4dfc-9b03-08bd01f60bbc"/>
    <ds:schemaRef ds:uri="a012520c-71f8-4b72-ada1-3c6aba3b7b8c"/>
  </ds:schemaRefs>
</ds:datastoreItem>
</file>

<file path=customXml/itemProps2.xml><?xml version="1.0" encoding="utf-8"?>
<ds:datastoreItem xmlns:ds="http://schemas.openxmlformats.org/officeDocument/2006/customXml" ds:itemID="{108C30B0-672C-4EC8-BF69-80DA4F78B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6b370-9b09-4dfc-9b03-08bd01f60bbc"/>
    <ds:schemaRef ds:uri="a012520c-71f8-4b72-ada1-3c6aba3b7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02B2AB-A0AC-4DEE-9D4F-A911258BB20C}">
  <ds:schemaRefs>
    <ds:schemaRef ds:uri="http://schemas.microsoft.com/sharepoint/v3/contenttype/forms"/>
  </ds:schemaRefs>
</ds:datastoreItem>
</file>

<file path=customXml/itemProps4.xml><?xml version="1.0" encoding="utf-8"?>
<ds:datastoreItem xmlns:ds="http://schemas.openxmlformats.org/officeDocument/2006/customXml" ds:itemID="{2EC37A89-75A8-40EB-B94D-EC17E5597B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Issue List</vt:lpstr>
      <vt:lpstr>Examples</vt:lpstr>
      <vt:lpstr>Evaluation Environment</vt:lpstr>
      <vt:lpstr>WCAG 2.2 A-AA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Jangam Mamilla</dc:creator>
  <cp:keywords>full; lreval</cp:keywords>
  <cp:lastModifiedBy>Aakanksha Saini</cp:lastModifiedBy>
  <cp:revision/>
  <dcterms:created xsi:type="dcterms:W3CDTF">2020-01-24T16:17:30Z</dcterms:created>
  <dcterms:modified xsi:type="dcterms:W3CDTF">2024-09-22T11:44:12Z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0x0101002687500F3657D74CBF050189AB045EBB</vt:lpwstr>
  </property>
  <property fmtid="{D5CDD505-2E9C-101B-9397-08002B2CF9AE}" pid="3" name="MediaServiceImageTags">
    <vt:lpwstr/>
  </property>
</Properties>
</file>