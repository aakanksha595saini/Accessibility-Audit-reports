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F:\Projects\Accessibility\19-Sep- 2024\Others\R376 The 2023 State of SaaS Security Report\"/>
    </mc:Choice>
  </mc:AlternateContent>
  <xr:revisionPtr revIDLastSave="0" documentId="13_ncr:1_{A0204BBE-AF28-41F8-A99E-FB46055B6B56}" xr6:coauthVersionLast="47" xr6:coauthVersionMax="47" xr10:uidLastSave="{00000000-0000-0000-0000-000000000000}"/>
  <bookViews>
    <workbookView xWindow="-105" yWindow="0" windowWidth="14610" windowHeight="15585" tabRatio="771" activeTab="1" xr2:uid="{00000000-000D-0000-FFFF-FFFF00000000}"/>
  </bookViews>
  <sheets>
    <sheet name="Evaluation Summary" sheetId="11" r:id="rId1"/>
    <sheet name="Issue List" sheetId="6" r:id="rId2"/>
    <sheet name="Examples" sheetId="12" r:id="rId3"/>
    <sheet name="Evaluation Environment" sheetId="13" r:id="rId4"/>
    <sheet name="WCAG 2.2 A-AA"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1" l="1"/>
  <c r="B15" i="11"/>
  <c r="B1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aster_Issue_Tracker" description="Connection to the 'Master_Issue_Tracker' query in the workbook." type="5" refreshedVersion="0" background="1" saveData="1">
    <dbPr connection="Provider=Microsoft.Mashup.OleDb.1;Data Source=$Workbook$;Location=Master_Issue_Tracker;Extended Properties=&quot;&quot;" command="SELECT * FROM [Master_Issue_Tracker]"/>
  </connection>
</connections>
</file>

<file path=xl/sharedStrings.xml><?xml version="1.0" encoding="utf-8"?>
<sst xmlns="http://schemas.openxmlformats.org/spreadsheetml/2006/main" count="286" uniqueCount="233">
  <si>
    <t>Western Governors University</t>
  </si>
  <si>
    <t>Vendor Name:</t>
  </si>
  <si>
    <t>Product Name:</t>
  </si>
  <si>
    <t>URL:</t>
  </si>
  <si>
    <t>Evaluation Date:</t>
  </si>
  <si>
    <t>Evaluation Status:</t>
  </si>
  <si>
    <t>Executive Summary:</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</si>
  <si>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</si>
  <si>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</si>
  <si>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</si>
  <si>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</si>
  <si>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</si>
  <si>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</si>
  <si>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</si>
  <si>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</si>
  <si>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</si>
  <si>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</si>
  <si>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</si>
  <si>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</si>
  <si>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</si>
  <si>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</si>
  <si>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</si>
  <si>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</si>
  <si>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</si>
  <si>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</si>
  <si>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</si>
  <si>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</si>
  <si>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</si>
  <si>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</si>
  <si>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</si>
  <si>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Microsoft Edge</t>
  </si>
  <si>
    <t>NonVisual Desktop Access (NVDA)</t>
  </si>
  <si>
    <t>Job Access With Speech (JAWS)</t>
  </si>
  <si>
    <t>PDF Accessibility Checker (PAC) 2024</t>
  </si>
  <si>
    <t>24.0.0.1</t>
  </si>
  <si>
    <t>Colour Contrast Analyser (CCA)</t>
  </si>
  <si>
    <t>3.4.2</t>
  </si>
  <si>
    <t>Adobe Digital Editions (ADE)</t>
  </si>
  <si>
    <t>4.5.12.112</t>
  </si>
  <si>
    <t>WAVE Evaluation Tool (WAVE)</t>
  </si>
  <si>
    <t>Accessibility Insights for Web</t>
  </si>
  <si>
    <t>2.41.0</t>
  </si>
  <si>
    <t>IBM Equal Access Accessibility Checker</t>
  </si>
  <si>
    <t>axe DevTools</t>
  </si>
  <si>
    <t>Lighthouse</t>
  </si>
  <si>
    <t>Adobe Acrobat Pro</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</si>
  <si>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</si>
  <si>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</si>
  <si>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</si>
  <si>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</si>
  <si>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</si>
  <si>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</si>
  <si>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</si>
  <si>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</si>
  <si>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</si>
  <si>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</si>
  <si>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</si>
  <si>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</si>
  <si>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</si>
  <si>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</si>
  <si>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</si>
  <si>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</si>
  <si>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</si>
  <si>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</si>
  <si>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</si>
  <si>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</si>
  <si>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</si>
  <si>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</si>
  <si>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</si>
  <si>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</si>
  <si>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</si>
  <si>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</si>
  <si>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</si>
  <si>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</si>
  <si>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</si>
  <si>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</si>
  <si>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</si>
  <si>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</si>
  <si>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</si>
  <si>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</si>
  <si>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</si>
  <si>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</si>
  <si>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</si>
  <si>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</si>
  <si>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</si>
  <si>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</si>
  <si>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</si>
  <si>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</si>
  <si>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</si>
  <si>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</si>
  <si>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</si>
  <si>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</si>
  <si>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</si>
  <si>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</si>
  <si>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</si>
  <si>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</si>
  <si>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</si>
  <si>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</si>
  <si>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</si>
  <si>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</si>
  <si>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</si>
  <si>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</si>
  <si>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ANDI</t>
  </si>
  <si>
    <t>29.1.1</t>
  </si>
  <si>
    <t>124.0.1</t>
  </si>
  <si>
    <t>123.0.2420.65</t>
  </si>
  <si>
    <t>3.2.5.3</t>
  </si>
  <si>
    <t>2023.2402.1</t>
  </si>
  <si>
    <t>3.1.68</t>
  </si>
  <si>
    <t>4.8.4</t>
  </si>
  <si>
    <t>11.5.0</t>
  </si>
  <si>
    <t>2024.001.20629</t>
  </si>
  <si>
    <t>Learning Resource (LR) - Accessibility Evaluation Report</t>
  </si>
  <si>
    <t>LR Format:</t>
  </si>
  <si>
    <t>Minor</t>
  </si>
  <si>
    <t>Single</t>
  </si>
  <si>
    <t>Critical</t>
  </si>
  <si>
    <t>Screen reader</t>
  </si>
  <si>
    <t>Raj Singh</t>
  </si>
  <si>
    <t>123.0.6312.86</t>
  </si>
  <si>
    <t>2023.3.4.31265</t>
  </si>
  <si>
    <t>Minor Remediation</t>
  </si>
  <si>
    <t>23H2</t>
  </si>
  <si>
    <t>Significant</t>
  </si>
  <si>
    <t xml:space="preserve">4.1.2 Name, Role, Value (A), 1.4.10 Reflow (AA), 1.3.1 Info and Relationships (A), 2.4.7 Focus Visible (AA), 1.4.1 Use of Color (A), 1.1.1 Non-text Content (A),1.2.5 Audio Description (Prerecorded) (AA)
</t>
  </si>
  <si>
    <t>Webpage</t>
  </si>
  <si>
    <t>20/sept./2024</t>
  </si>
  <si>
    <t>The focus indicator should be clearly visible at all times when an element is in focus, providing visual feedback to users navigating the webpage.</t>
  </si>
  <si>
    <t>This issue primarily affects students with visual impairments or those who rely on keyboard navigation, potentially leading to frustration, confusion, and a diminished user experience. It may also hinder their ability to access important information or resources.</t>
  </si>
  <si>
    <t xml:space="preserve">Update the CSS styles to ensure that the focus indicator (such as a border or background color change) is clearly defined and visible on all interactive elements. </t>
  </si>
  <si>
    <t>Global</t>
  </si>
  <si>
    <t>keyboard tab navigation</t>
  </si>
  <si>
    <t>Partial</t>
  </si>
  <si>
    <t>Manual inspection</t>
  </si>
  <si>
    <t>CCA tool</t>
  </si>
  <si>
    <t>The text should have sufficient color contrast according to WCAG (Web Content Accessibility Guidelines) standards, ensuring that it is easily readable for all users, including those with visual impairments.</t>
  </si>
  <si>
    <t>Low color contrast can lead to accessibility issues for students, especially those with visual impairments or color blindness, making it challenging to navigate the webpage and access important information.</t>
  </si>
  <si>
    <t>Update the text color or background color to ensure compliance with WCAG contrast ratio guidelines (at least 4.5:1 for normal text). Use a contrast checker tool to verify the adjustments, and consider conducting user testing with students to gather feedback on readability.</t>
  </si>
  <si>
    <t>This issue can lead to a frustrating user experience for students, as the persistent open search bar may obstruct access to other features, making it harder for them to navigate the site efficiently.</t>
  </si>
  <si>
    <t>Implement JavaScript or jQuery functionality to close the search edit bar when focus shifts away from it. Ensure this behavior is consistent across different browsers and devices. Test with users to confirm that the change improves the overall navigation experience.</t>
  </si>
  <si>
    <t>&gt;&gt;header tabs::Products,Intergrations,Docs,Pricing,Blog,company</t>
  </si>
  <si>
    <t>Menu items remains open while we navigates through the keyboard</t>
  </si>
  <si>
    <t>Color alone is used solely to represent links</t>
  </si>
  <si>
    <t>The Links should have color contrast of atleast 3:1 with its surrounding text and it should be underlines on hover</t>
  </si>
  <si>
    <t>Students may face issue while accessing the links</t>
  </si>
  <si>
    <t>Links should be underlined and should maintain 3:1 with its foreground text</t>
  </si>
  <si>
    <t>Keyboard tab navigation</t>
  </si>
  <si>
    <t>Colour contrast is very low</t>
  </si>
  <si>
    <t>List markup is missing</t>
  </si>
  <si>
    <t>Screen reader and keyboard navigation</t>
  </si>
  <si>
    <t>&gt;&gt;Links present with in the Headertabs  menus 
&gt;&gt;Links throughout the webapge</t>
  </si>
  <si>
    <t>Menu items should automatically close or lose focus when the user moves to another interactive element, providing a clean interface and clear navigation.</t>
  </si>
  <si>
    <t>cloud security alliance</t>
  </si>
  <si>
    <t>The 2023 State of SaaS Security Report</t>
  </si>
  <si>
    <t>https://cloudsecurityalliance.org/blog/2024/03/27/the-2023-state-of-saas-security-report</t>
  </si>
  <si>
    <t>Focus indicator is not visible</t>
  </si>
  <si>
    <t xml:space="preserve"> focus indicator is not visible when navigating through the &gt;&gt;&gt;&gt;header tabs, using keyboard shortcuts (e.g., Tab key), making it difficult for users to determine which element is currently selected.
</t>
  </si>
  <si>
    <t>&gt;&gt;&gt;&gt;header tabs</t>
  </si>
  <si>
    <t>Color Alone used to define link such as main content&gt;&gt;Home/Industry Insights…..
Color is solely used to determine the links in footer without providing an underline on hovering.</t>
  </si>
  <si>
    <t>Image has very low visiblity</t>
  </si>
  <si>
    <t xml:space="preserve">Keyboard support is missing </t>
  </si>
  <si>
    <t>&gt;&gt;twitter icon throughout the webapage</t>
  </si>
  <si>
    <t>Incorrect keyboard focus order</t>
  </si>
  <si>
    <t>&gt;&gt;The focus goes from main content&gt;&gt;"Home&gt;Industry&gt; Insights&gt;The 2023 State of SaaS Security Report "to "right side "social platforms" icons "bookmark,Linkedin,twitter,facebook"
then it comesback to the mainn content</t>
  </si>
  <si>
    <t>&gt;&gt;Footer section</t>
  </si>
  <si>
    <t>Incorrect role is assigned to the "search" icon</t>
  </si>
  <si>
    <t>Search bar is overlapping over the header tabs</t>
  </si>
  <si>
    <t>The search bar is overlapping with the header tabs, making it difficult for users to interact with both elements and causing visual clutter on the webpage.</t>
  </si>
  <si>
    <t>The search bar should be positioned clearly below or above the header tabs, allowing users to access and navigate both features without obstruction.</t>
  </si>
  <si>
    <t>This overlap can lead to frustration for students as they may struggle to click on header tabs or use the search function effectively, potentially discouraging them from engaging with the site.</t>
  </si>
  <si>
    <t>Review the CSS layout and positioning of the search bar to ensure it does not overlap with other elements. Consider using media queries for responsive design adjustments. Conduct usability testing to verify that the layout is user-friendly across different devices and screen sizes.</t>
  </si>
  <si>
    <t>Seach edit bar remains open while the focus moved to the next element</t>
  </si>
  <si>
    <t>The search edit bar remains open when the user navigates to the next element, causing potential confusion and clutter on the interface.</t>
  </si>
  <si>
    <t>The search edit bar should automatically close or lose focus when the user moves to another interactive element, providing a clean interface and clear navigation.</t>
  </si>
  <si>
    <t>keyboard navigatio</t>
  </si>
  <si>
    <t>Inconsistent Role and Name Announcements for Search Button in Screen Reader</t>
  </si>
  <si>
    <t>Screen reader is navigating multiple times to the search button and each time it is reading the different role/label .</t>
  </si>
  <si>
    <t>&gt;&gt;Header section: search button</t>
  </si>
  <si>
    <t>&gt;&gt;search button</t>
  </si>
  <si>
    <t>Screen reader  reads everthing at once</t>
  </si>
  <si>
    <t>&gt;&gt;Screen reader is reading the whole content in one go for the header tabs and the banner landmark</t>
  </si>
  <si>
    <t>&gt;&gt;banner landmark&gt;&gt;Cloud 101CircleEventsBlogSign in or Sign Up
&gt;&gt;Header tabs&gt;&gt;MembershipSTAR ProgramCertificates &amp; TrainingResearch</t>
  </si>
  <si>
    <t xml:space="preserve">&gt;&gt;Header tabs&gt;&gt;MembershipSTAR ProgramCertificates &amp; TrainingResearch
Menu items remains open and keyboard focus and screen reader focus moves to the next element </t>
  </si>
  <si>
    <t>language of the document is not identified</t>
  </si>
  <si>
    <t xml:space="preserve"> language of the document is not identified or a lang attribute value is invalid.</t>
  </si>
  <si>
    <t>&gt;&gt;Blog Article Published: 03/27/2024
Color contrast is very low for the links text and normal text</t>
  </si>
  <si>
    <t>&gt;&gt;main content
&gt;&gt;for example::Blog Article Published: 03/27/2024</t>
  </si>
  <si>
    <t>&gt;&gt;&gt;&gt;header tabs
&gt;&gt;&gt;&gt;u-scroll-to-top
&gt;&gt;&gt;&gt;footer section::CSA logo,Twitter,facebook logo
&gt;&gt;</t>
  </si>
  <si>
    <t>&gt;&gt;CSA logo
&gt;&gt;right side &gt;&gt;icons
&gt;&gt;footer images
&gt;&gt;Search icon
&gt;&gt;Images throughtout the webpage&gt;&gt;icons,logo,images,
"Enhance your cloud security skills with CSA's online training options." arrow</t>
  </si>
  <si>
    <t>Screen reader is misinterperating the links</t>
  </si>
  <si>
    <t>&gt;&gt;Link text&gt;&gt;Skip to top
&gt;&gt;Links for the Social media icons throughout the webpage</t>
  </si>
  <si>
    <t>Users cannot navigate through the header tabs using the keyboard, making it impossible for keyboard-only users to access important sections of the site.</t>
  </si>
  <si>
    <t>All header tabs should be focusable and navigable via keyboard inputs (e.g., using the Tab key), allowing all users to access the content easily.</t>
  </si>
  <si>
    <t>This lack of keyboard navigation can hinder accessibility for students who rely on keyboard controls, preventing them from engaging with critical information and leading to a frustrating user experience.</t>
  </si>
  <si>
    <t>Ensure that all header tabs are implemented as focusable elements (using appropriate HTML elements like &lt;a&gt; or &lt;button&gt;). Implement keyboard event handlers to facilitate navigation between tabs</t>
  </si>
  <si>
    <t>Twitter icon in the right aside panel has very low visibility, making it hard to see unless the user hovers over it or navigates to it using the keyboard.</t>
  </si>
  <si>
    <t>The Twitter icon should be clearly visible at all times, ensuring users can easily identify and access it without needing to hover or navigate to it.</t>
  </si>
  <si>
    <t>Low visibility of the icon can lead to confusion for students and other users, potentially causing them to miss out on important social media links and reducing overall engagement with the content.</t>
  </si>
  <si>
    <t xml:space="preserve">Adjust the CSS styles for the Twitter icon to enhance its visibility, possibly by increasing contrast, size, or changing its color. Ensure it meets accessibility standards for visibility. </t>
  </si>
  <si>
    <t>The keyboard focus should follow a logical order that allows users to navigate sequentially through interactive elements without jumping between unrelated sections, enhancing the overall user experience.</t>
  </si>
  <si>
    <t>This incorrect focus order can confuse students and other users, making it difficult to understand the layout and navigate effectively, potentially leading to frustration and disengagement.</t>
  </si>
  <si>
    <t>Review the HTML structure and use appropriate tabindex attributes to ensure a logical focus order. Ensure that interactive elements are organized in a way that aligns with the visual layout of the page.</t>
  </si>
  <si>
    <t>keyboard  navigation and screen reader</t>
  </si>
  <si>
    <t xml:space="preserve">&gt;&gt;main content
</t>
  </si>
  <si>
    <t>Each image should have accurate and descriptive alt text that conveys its content and purpose, ensuring accessibility for all users, particularly those using assistive technologies.</t>
  </si>
  <si>
    <t>&gt;&gt;Screen reader is reading the irrelevant text or the links for the images throught the webpage
&gt;&gt;CSA logo,Search button…</t>
  </si>
  <si>
    <t>Inaccurate or missing alt text can lead to confusion for students with visual impairments who rely on screen readers, preventing them from fully understanding the context of the images and hindering their learning experience.</t>
  </si>
  <si>
    <t>Conduct an audit of all images to identify those lacking proper alt text or containing inaccurate descriptions. Update the alt text to be descriptive and relevant, ensuring it enhances the understanding of the content. Involve users with disabilities in testing to ensure the alt text effectively communicates the necessary information.</t>
  </si>
  <si>
    <t>Inaccurate and missing Alt text for the multiple images</t>
  </si>
  <si>
    <t xml:space="preserve">&gt;&gt;footer tab&gt;&gt;Social media icons
The social media icons in the footer are not structured using proper list markup (e.g., &lt;ul&gt; or &lt;ol&gt;), which affects the semantic organization of the content.
</t>
  </si>
  <si>
    <t>The social media icons should be organized within an unordered list (&lt;ul&gt;) or ordered list (&lt;ol&gt;) to clearly indicate that they are part of a group, enhancing both accessibility and readability.</t>
  </si>
  <si>
    <t>The absence of list markup can hinder accessibility for students using assistive technologies, making it harder for them to navigate and understand the relationships between the social media links.</t>
  </si>
  <si>
    <r>
      <t xml:space="preserve">Update the footer markup to include appropriate list elements. For example, wrap the social media icons in a </t>
    </r>
    <r>
      <rPr>
        <sz val="10"/>
        <color theme="1"/>
        <rFont val="Arial Unicode MS"/>
      </rPr>
      <t>&lt;ul&gt;</t>
    </r>
    <r>
      <rPr>
        <sz val="11"/>
        <color theme="1"/>
        <rFont val="Calibri"/>
        <family val="2"/>
        <scheme val="minor"/>
      </rPr>
      <t xml:space="preserve"> with each icon as an </t>
    </r>
    <r>
      <rPr>
        <sz val="10"/>
        <color theme="1"/>
        <rFont val="Arial Unicode MS"/>
      </rPr>
      <t>&lt;li&gt;</t>
    </r>
    <r>
      <rPr>
        <sz val="11"/>
        <color theme="1"/>
        <rFont val="Calibri"/>
        <family val="2"/>
        <scheme val="minor"/>
      </rPr>
      <t>.</t>
    </r>
  </si>
  <si>
    <t>&gt;&gt;search button ::img role</t>
  </si>
  <si>
    <t>&gt;&gt;img role is assigned to the search button
The search button has been incorrectly assigned an img role, which does not accurately represent its function as an interactive element.</t>
  </si>
  <si>
    <t>search  button should be assigned the appropriate role, such as button or an appropriate ARIA role, to convey its interactive nature to assistive technologies.</t>
  </si>
  <si>
    <t>This incorrect role assignment can lead to confusion for students using screen readers, as they may not recognize the icon or button as an actionable element, hindering their ability to utilize the search feature effectively.</t>
  </si>
  <si>
    <t xml:space="preserve">Review the HTML markup for the search icon or button and ensure it has the correct role assigned (e.g., &lt;button&gt; element or role="button" for an icon). </t>
  </si>
  <si>
    <t>screen reader should consistently announce the search button with the same role and label each time it receives focus, providing clear and accurate information about its function.</t>
  </si>
  <si>
    <t>This inconsistency can frustrate students using screen readers, making it difficult for them to understand and utilize the search functionality effectively, which can hinder their overall experience on the site.</t>
  </si>
  <si>
    <t xml:space="preserve">Review the HTML and ARIA attributes associated with the search button to ensure it has a single, clear role and label. Use aria-label or aria-labelledby for consistency. </t>
  </si>
  <si>
    <t>&gt;&gt;search button
&gt;&gt;header :CSA logo</t>
  </si>
  <si>
    <t>screen reader should announce content in a structured manner, allowing users to navigate through header tabs and the banner landmark individually, promoting better understanding and usability.</t>
  </si>
  <si>
    <t>This issue can overwhelm students who rely on screen readers, as they may struggle to process the information, making it difficult to navigate the page and access key content.</t>
  </si>
  <si>
    <t>Ensure proper use of semantic HTML elements, such as headings (&lt;h1&gt;, &lt;h2&gt;, etc.) and landmarks (&lt;header&gt;, &lt;nav&gt;, &lt;main&gt;, &lt;footer&gt;), to create a logical structure. Implement ARIA roles where necessary to improve navigation.</t>
  </si>
  <si>
    <t>The document should include a language attribute (e.g., lang="en" for English) in the &lt;html&gt; tag or relevant sections to clearly identify the primary language of the content.</t>
  </si>
  <si>
    <t>The absence of a specified language can hinder the accessibility of the content for students using assistive technologies, potentially leading to mispronunciation of words and an overall confusing experience.</t>
  </si>
  <si>
    <t>Add the appropriate lang attribute to the &lt;html&gt; tag or specific elements to indicate the document's primary language. Ensure that it is correctly set for any sections with different languages as well.</t>
  </si>
  <si>
    <t>&gt;&gt;As the screen reader is announcing the inaccurate text for the link or clickble icons ,leads to the unclear purpose of link and icons links as well</t>
  </si>
  <si>
    <t>Each link and clickable icon should have clear, descriptive text that accurately conveys its purpose, allowing users to understand where the link will take them or what action the icon will perform.</t>
  </si>
  <si>
    <t>Inaccurate announcements can frustrate students relying on screen readers, making it difficult for them to navigate the website effectively and access relevant content or features.</t>
  </si>
  <si>
    <t>Review and update the text associated with links and clickable icons to ensure clarity and accuracy. Use appropriate ARIA labels or alt text for icons to enhance understanding.</t>
  </si>
  <si>
    <t>&gt;&gt;incpect the webpage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</si>
</sst>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b/>
      <sz val="20"/>
      <color rgb="FF003057"/>
      <name val="Arial"/>
      <family val="2"/>
    </font>
    <font>
      <b/>
      <sz val="14"/>
      <color rgb="FF63666A"/>
      <name val="Arial"/>
      <family val="2"/>
    </font>
    <font>
      <u/>
      <sz val="12"/>
      <color theme="10"/>
      <name val="Arial"/>
      <family val="2"/>
    </font>
    <font>
      <b/>
      <sz val="14"/>
      <color rgb="FF003057"/>
      <name val="Arial"/>
      <family val="2"/>
    </font>
    <font>
      <sz val="12"/>
      <color theme="1"/>
      <name val="Arial"/>
      <family val="2"/>
    </font>
    <font>
      <b/>
      <sz val="20"/>
      <color rgb="FF003057"/>
      <name val="Arial"/>
      <family val="2"/>
    </font>
    <font>
      <b/>
      <sz val="14"/>
      <color rgb="FF63666A"/>
      <name val="Arial"/>
      <family val="2"/>
    </font>
    <font>
      <b/>
      <sz val="12"/>
      <color theme="1"/>
      <name val="Arial"/>
      <family val="2"/>
    </font>
    <font>
      <u/>
      <sz val="11"/>
      <color theme="10"/>
      <name val="Calibri"/>
      <family val="2"/>
      <scheme val="minor"/>
    </font>
    <font>
      <sz val="11"/>
      <color rgb="FF000000"/>
      <name val="Aptos Narrow"/>
      <family val="2"/>
    </font>
    <font>
      <sz val="10"/>
      <color theme="1"/>
      <name val="Arial Unicode MS"/>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15">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5" fillId="0" borderId="0" applyNumberFormat="0" applyFill="0" applyBorder="0" applyAlignment="0" applyProtection="0"/>
  </cellStyleXfs>
  <cellXfs count="65">
    <xf numFmtId="0" fontId="0" fillId="0" borderId="0" xfId="0"/>
    <xf numFmtId="0" fontId="4" fillId="0" borderId="0" xfId="0" applyFont="1" applyAlignment="1">
      <alignment horizontal="left" vertical="center"/>
    </xf>
    <xf numFmtId="0" fontId="9" fillId="0" borderId="0" xfId="2" quotePrefix="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2"/>
    <xf numFmtId="0" fontId="3" fillId="0" borderId="0" xfId="0" applyFont="1"/>
    <xf numFmtId="0" fontId="2" fillId="0" borderId="0" xfId="0" applyFont="1" applyAlignment="1">
      <alignment horizontal="left" vertical="center"/>
    </xf>
    <xf numFmtId="0" fontId="2" fillId="0" borderId="0" xfId="0" applyFont="1"/>
    <xf numFmtId="0" fontId="11" fillId="0" borderId="0" xfId="0" applyFont="1" applyAlignment="1">
      <alignment horizontal="left" vertical="center"/>
    </xf>
    <xf numFmtId="0" fontId="14" fillId="0" borderId="0" xfId="0" applyFont="1" applyAlignment="1">
      <alignment horizontal="left" vertical="center"/>
    </xf>
    <xf numFmtId="0" fontId="2" fillId="0" borderId="0" xfId="0" quotePrefix="1" applyFont="1" applyAlignment="1">
      <alignment vertical="center" wrapText="1"/>
    </xf>
    <xf numFmtId="9" fontId="2" fillId="0" borderId="0" xfId="1" applyFont="1" applyAlignment="1">
      <alignment horizontal="left" vertical="center"/>
    </xf>
    <xf numFmtId="14" fontId="2" fillId="0" borderId="0" xfId="0" quotePrefix="1" applyNumberFormat="1" applyFont="1" applyAlignment="1">
      <alignment vertical="center" wrapText="1"/>
    </xf>
    <xf numFmtId="12" fontId="2" fillId="0" borderId="0" xfId="0" applyNumberFormat="1" applyFont="1" applyAlignment="1">
      <alignment horizontal="lef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3" fillId="0" borderId="0" xfId="0" applyFont="1" applyAlignment="1">
      <alignment horizontal="left" vertical="top" wrapText="1"/>
    </xf>
    <xf numFmtId="0" fontId="14" fillId="0" borderId="4" xfId="0" applyFont="1" applyBorder="1" applyAlignment="1">
      <alignment vertical="center" wrapText="1"/>
    </xf>
    <xf numFmtId="0" fontId="16" fillId="0" borderId="5" xfId="0" applyFont="1" applyBorder="1"/>
    <xf numFmtId="0" fontId="14" fillId="0" borderId="6" xfId="0" applyFont="1" applyBorder="1" applyAlignment="1">
      <alignment vertical="center" wrapText="1"/>
    </xf>
    <xf numFmtId="0" fontId="11" fillId="0" borderId="3"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14" fillId="0" borderId="6" xfId="0" applyFont="1" applyBorder="1" applyAlignment="1">
      <alignment vertical="center"/>
    </xf>
    <xf numFmtId="0" fontId="11" fillId="0" borderId="3" xfId="0" applyFont="1" applyBorder="1" applyAlignment="1">
      <alignment horizontal="center" vertical="center"/>
    </xf>
    <xf numFmtId="0" fontId="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4" fillId="0" borderId="7" xfId="0" applyFont="1" applyBorder="1" applyAlignment="1">
      <alignment horizontal="left" vertical="center"/>
    </xf>
    <xf numFmtId="0" fontId="11" fillId="0" borderId="8" xfId="0" applyFont="1" applyBorder="1" applyAlignment="1">
      <alignment horizontal="left" vertical="center" wrapText="1"/>
    </xf>
    <xf numFmtId="0" fontId="1" fillId="0" borderId="0" xfId="0" applyFont="1" applyAlignment="1">
      <alignment wrapText="1"/>
    </xf>
    <xf numFmtId="0" fontId="1" fillId="0" borderId="10" xfId="0" applyFont="1" applyBorder="1" applyAlignment="1">
      <alignment horizontal="left" vertical="top" wrapText="1"/>
    </xf>
    <xf numFmtId="0" fontId="1" fillId="0" borderId="9" xfId="0" applyFont="1" applyBorder="1" applyAlignment="1">
      <alignment horizontal="left" vertical="top" wrapText="1"/>
    </xf>
    <xf numFmtId="0" fontId="1" fillId="0" borderId="9" xfId="0" applyFont="1" applyBorder="1" applyAlignment="1">
      <alignment vertical="top" wrapText="1"/>
    </xf>
    <xf numFmtId="0" fontId="9" fillId="0" borderId="10" xfId="2" applyBorder="1" applyAlignment="1">
      <alignment horizontal="left" vertical="top" wrapText="1"/>
    </xf>
    <xf numFmtId="0" fontId="1" fillId="0" borderId="10" xfId="0" applyFont="1" applyBorder="1" applyAlignment="1">
      <alignment vertical="top" wrapText="1"/>
    </xf>
    <xf numFmtId="0" fontId="9" fillId="0" borderId="2" xfId="2" applyBorder="1" applyAlignment="1">
      <alignment horizontal="left" vertical="top" wrapText="1"/>
    </xf>
    <xf numFmtId="0" fontId="5" fillId="0" borderId="4" xfId="0" applyFont="1" applyBorder="1" applyAlignment="1">
      <alignment vertical="top" wrapText="1"/>
    </xf>
    <xf numFmtId="0" fontId="1" fillId="2"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9" fillId="3" borderId="2" xfId="2" applyFill="1" applyBorder="1" applyAlignment="1">
      <alignment horizontal="left" vertical="top" wrapText="1"/>
    </xf>
    <xf numFmtId="0" fontId="1" fillId="3" borderId="2" xfId="0" applyFont="1" applyFill="1" applyBorder="1" applyAlignment="1">
      <alignment wrapText="1"/>
    </xf>
    <xf numFmtId="0" fontId="5" fillId="3" borderId="2" xfId="0" applyFont="1" applyFill="1" applyBorder="1" applyAlignment="1">
      <alignment horizontal="left" vertical="top" wrapText="1"/>
    </xf>
    <xf numFmtId="0" fontId="0" fillId="3" borderId="2" xfId="0" applyFill="1" applyBorder="1" applyAlignment="1">
      <alignment vertical="top" wrapText="1"/>
    </xf>
    <xf numFmtId="0" fontId="1" fillId="3" borderId="2" xfId="0" applyFont="1" applyFill="1" applyBorder="1" applyAlignment="1">
      <alignment vertical="top" wrapText="1"/>
    </xf>
    <xf numFmtId="0" fontId="5" fillId="3" borderId="2" xfId="0" applyFont="1" applyFill="1" applyBorder="1" applyAlignment="1">
      <alignment wrapText="1"/>
    </xf>
    <xf numFmtId="0" fontId="5" fillId="3" borderId="2" xfId="0" applyFont="1" applyFill="1" applyBorder="1" applyAlignment="1">
      <alignment vertical="top"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6" fillId="0" borderId="2" xfId="0" applyFont="1" applyBorder="1" applyAlignment="1">
      <alignment horizontal="left" vertical="top"/>
    </xf>
    <xf numFmtId="0" fontId="1" fillId="0" borderId="11" xfId="0" applyFont="1" applyBorder="1" applyAlignment="1">
      <alignment vertical="top" wrapText="1"/>
    </xf>
    <xf numFmtId="0" fontId="5" fillId="0" borderId="6" xfId="0" applyFont="1" applyBorder="1" applyAlignment="1">
      <alignment horizontal="left" vertical="top" wrapText="1"/>
    </xf>
    <xf numFmtId="0" fontId="1" fillId="0" borderId="12" xfId="0" applyFont="1" applyBorder="1" applyAlignment="1">
      <alignment horizontal="left" vertical="top" wrapText="1"/>
    </xf>
    <xf numFmtId="0" fontId="1" fillId="0" borderId="2" xfId="0" applyFont="1" applyBorder="1" applyAlignment="1">
      <alignment horizontal="left" vertical="top" wrapText="1"/>
    </xf>
    <xf numFmtId="0" fontId="9" fillId="0" borderId="2" xfId="2" applyFont="1" applyBorder="1" applyAlignment="1">
      <alignment horizontal="left" vertical="top" wrapText="1"/>
    </xf>
    <xf numFmtId="0" fontId="1" fillId="0" borderId="3" xfId="0" applyFont="1" applyBorder="1" applyAlignment="1">
      <alignment horizontal="left" vertical="top" wrapText="1"/>
    </xf>
    <xf numFmtId="0" fontId="5" fillId="0" borderId="6" xfId="0" applyFont="1" applyBorder="1" applyAlignment="1">
      <alignment vertical="top" wrapText="1"/>
    </xf>
    <xf numFmtId="0" fontId="1" fillId="0" borderId="2" xfId="0" applyFont="1" applyBorder="1" applyAlignment="1">
      <alignment vertical="top" wrapText="1"/>
    </xf>
    <xf numFmtId="0" fontId="5" fillId="0" borderId="13" xfId="0" applyFont="1" applyBorder="1" applyAlignment="1">
      <alignment horizontal="left" vertical="top" wrapText="1"/>
    </xf>
    <xf numFmtId="0" fontId="9" fillId="0" borderId="9" xfId="2" applyFont="1" applyBorder="1" applyAlignment="1">
      <alignment horizontal="left" vertical="top" wrapText="1"/>
    </xf>
    <xf numFmtId="0" fontId="1" fillId="0" borderId="14" xfId="0" applyFont="1" applyBorder="1" applyAlignment="1">
      <alignment horizontal="left" vertical="top" wrapText="1"/>
    </xf>
  </cellXfs>
  <cellStyles count="4">
    <cellStyle name="Hyperlink" xfId="2" builtinId="8" customBuiltin="1"/>
    <cellStyle name="Hyperlink 2" xfId="3" xr:uid="{00000000-0005-0000-0000-000001000000}"/>
    <cellStyle name="Normal" xfId="0" builtinId="0"/>
    <cellStyle name="Percent" xfId="1" builtinId="5"/>
  </cellStyles>
  <dxfs count="36">
    <dxf>
      <font>
        <b/>
        <i val="0"/>
        <strike val="0"/>
      </font>
      <fill>
        <patternFill>
          <bgColor theme="9" tint="0.59996337778862885"/>
        </patternFill>
      </fill>
      <border>
        <left style="thin">
          <color auto="1"/>
        </left>
        <right style="thin">
          <color auto="1"/>
        </right>
        <top style="thin">
          <color auto="1"/>
        </top>
        <bottom style="thin">
          <color auto="1"/>
        </bottom>
        <vertical/>
        <horizontal/>
      </border>
    </dxf>
    <dxf>
      <font>
        <b/>
        <i val="0"/>
        <color rgb="FF4C3800"/>
      </font>
      <fill>
        <patternFill patternType="solid">
          <bgColor theme="7" tint="0.39991454817346722"/>
        </patternFill>
      </fill>
      <border>
        <left style="dashDot">
          <color auto="1"/>
        </left>
        <right style="dashDot">
          <color auto="1"/>
        </right>
        <top style="dashDot">
          <color auto="1"/>
        </top>
        <bottom style="dashDot">
          <color auto="1"/>
        </bottom>
        <vertical/>
        <horizontal/>
      </border>
    </dxf>
    <dxf>
      <font>
        <b/>
        <i val="0"/>
      </font>
      <fill>
        <patternFill>
          <bgColor rgb="FFFD5555"/>
        </patternFill>
      </fill>
      <border>
        <left style="hair">
          <color auto="1"/>
        </left>
        <right style="hair">
          <color auto="1"/>
        </right>
        <top style="hair">
          <color auto="1"/>
        </top>
        <bottom style="hair">
          <color auto="1"/>
        </bottom>
        <vertical/>
        <horizontal/>
      </border>
    </dxf>
    <dxf>
      <font>
        <b/>
        <i val="0"/>
        <color theme="1"/>
      </font>
      <fill>
        <patternFill>
          <fgColor theme="9" tint="0.39994506668294322"/>
        </patternFill>
      </fill>
    </dxf>
    <dxf>
      <font>
        <color theme="0"/>
      </font>
      <fill>
        <patternFill>
          <bgColor theme="0"/>
        </patternFill>
      </fill>
    </dxf>
    <dxf>
      <font>
        <b/>
        <i val="0"/>
        <color theme="1"/>
      </font>
      <fill>
        <patternFill>
          <bgColor theme="9" tint="0.39994506668294322"/>
        </patternFill>
      </fill>
    </dxf>
    <dxf>
      <font>
        <b/>
        <i val="0"/>
        <color theme="1"/>
      </font>
      <fill>
        <patternFill>
          <bgColor rgb="FFCFC483"/>
        </patternFill>
      </fill>
    </dxf>
    <dxf>
      <font>
        <b/>
        <i val="0"/>
        <color theme="1"/>
      </font>
      <fill>
        <patternFill>
          <bgColor rgb="FFFF412D"/>
        </patternFill>
      </fill>
    </dxf>
    <dxf>
      <font>
        <b/>
        <i val="0"/>
        <color theme="1"/>
      </font>
      <fill>
        <patternFill>
          <bgColor rgb="FFFFFF00"/>
        </patternFill>
      </fill>
    </dxf>
    <dxf>
      <font>
        <b/>
        <i val="0"/>
        <color theme="1"/>
      </font>
      <fill>
        <patternFill>
          <bgColor rgb="FFFFC000"/>
        </patternFill>
      </fill>
    </dxf>
    <dxf>
      <font>
        <b/>
        <i val="0"/>
        <color theme="1"/>
      </font>
      <fill>
        <patternFill>
          <bgColor rgb="FFFFFF00"/>
        </patternFill>
      </fill>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vertAlign val="baseline"/>
        <sz val="12"/>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FC483"/>
      <color rgb="FF71924C"/>
      <color rgb="FF3EA053"/>
      <color rgb="FF003057"/>
      <color rgb="FFFF412D"/>
      <color rgb="FFFD5555"/>
      <color rgb="FF4C3800"/>
      <color rgb="FF636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aster_Issue_Tracker" displayName="Master_Issue_Tracker" ref="A1:L17" totalsRowShown="0" headerRowDxfId="35" dataDxfId="34">
  <autoFilter ref="A1:L17" xr:uid="{00000000-0009-0000-0100-000002000000}"/>
  <sortState xmlns:xlrd2="http://schemas.microsoft.com/office/spreadsheetml/2017/richdata2" ref="A2:L16">
    <sortCondition ref="C1:C16"/>
  </sortState>
  <tableColumns count="12">
    <tableColumn id="1" xr3:uid="{00000000-0010-0000-0000-000001000000}" name="Issue Name" dataDxfId="33"/>
    <tableColumn id="9" xr3:uid="{00000000-0010-0000-0000-000009000000}" name="WCAG Success Criteria" dataDxfId="32"/>
    <tableColumn id="2" xr3:uid="{00000000-0010-0000-0000-000002000000}" name="Severity Level" dataDxfId="31"/>
    <tableColumn id="3" xr3:uid="{00000000-0010-0000-0000-000003000000}" name="Actual Result" dataDxfId="30"/>
    <tableColumn id="5" xr3:uid="{00000000-0010-0000-0000-000005000000}" name="Expected Result" dataDxfId="29"/>
    <tableColumn id="4" xr3:uid="{00000000-0010-0000-0000-000004000000}" name="Student Impact" dataDxfId="28"/>
    <tableColumn id="6" xr3:uid="{00000000-0010-0000-0000-000006000000}" name="Recommendation" dataDxfId="27"/>
    <tableColumn id="10" xr3:uid="{00000000-0010-0000-0000-00000A000000}" name="Issue Persistence" dataDxfId="26"/>
    <tableColumn id="8" xr3:uid="{00000000-0010-0000-0000-000008000000}" name="Detection Method" dataDxfId="25"/>
    <tableColumn id="7" xr3:uid="{00000000-0010-0000-0000-000007000000}" name="Location in Asset" dataDxfId="24"/>
    <tableColumn id="14" xr3:uid="{00000000-0010-0000-0000-00000E000000}" name="Example" dataDxfId="23" dataCellStyle="Hyperlink"/>
    <tableColumn id="13" xr3:uid="{00000000-0010-0000-0000-00000D000000}" name="Note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4" totalsRowShown="0" headerRowDxfId="21" dataDxfId="20">
  <autoFilter ref="A1:B4" xr:uid="{00000000-0009-0000-0100-000001000000}"/>
  <tableColumns count="2">
    <tableColumn id="2" xr3:uid="{00000000-0010-0000-0100-000002000000}" name="Issue Name" dataDxfId="19"/>
    <tableColumn id="3" xr3:uid="{00000000-0010-0000-0100-000003000000}" name="Examp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B19" totalsRowShown="0" headerRowDxfId="17" dataDxfId="16">
  <autoFilter ref="A2:B19" xr:uid="{00000000-0009-0000-0100-000003000000}"/>
  <tableColumns count="2">
    <tableColumn id="1" xr3:uid="{00000000-0010-0000-0200-000001000000}" name="Browser or Tool" dataDxfId="15"/>
    <tableColumn id="2" xr3:uid="{00000000-0010-0000-0200-000002000000}" name="Version"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A56" totalsRowShown="0" headerRowDxfId="13" dataDxfId="12">
  <autoFilter ref="A1:A56" xr:uid="{00000000-0009-0000-0100-000004000000}"/>
  <sortState xmlns:xlrd2="http://schemas.microsoft.com/office/spreadsheetml/2017/richdata2" ref="A2:A56">
    <sortCondition ref="A1:A56"/>
  </sortState>
  <tableColumns count="1">
    <tableColumn id="1" xr3:uid="{00000000-0010-0000-0300-000001000000}" name="WCAG Criterion"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oudsecurityalliance.org/blog/2024/03/27/the-2023-state-of-saas-security-repor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table" Target="../tables/table4.xm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499984740745262"/>
  </sheetPr>
  <dimension ref="A1:K31"/>
  <sheetViews>
    <sheetView workbookViewId="0">
      <selection activeCell="B23" sqref="B23"/>
    </sheetView>
  </sheetViews>
  <sheetFormatPr defaultColWidth="8.85546875" defaultRowHeight="15"/>
  <cols>
    <col min="1" max="1" width="24.140625" style="1" customWidth="1"/>
    <col min="2" max="2" width="75.28515625" style="1" customWidth="1"/>
    <col min="3" max="8" width="10.7109375" style="1" customWidth="1"/>
    <col min="9" max="10" width="8.85546875" style="1"/>
    <col min="11" max="11" width="11" style="1" bestFit="1" customWidth="1"/>
    <col min="12" max="16384" width="8.85546875" style="1"/>
  </cols>
  <sheetData>
    <row r="1" spans="1:11" ht="26.25">
      <c r="A1" s="50" t="s">
        <v>0</v>
      </c>
      <c r="B1" s="50"/>
      <c r="C1" s="3"/>
      <c r="D1" s="3"/>
      <c r="E1" s="3"/>
      <c r="F1" s="3"/>
      <c r="G1" s="3"/>
      <c r="H1" s="3"/>
      <c r="I1" s="8"/>
      <c r="J1" s="8"/>
      <c r="K1" s="8"/>
    </row>
    <row r="2" spans="1:11" ht="18">
      <c r="A2" s="51" t="s">
        <v>112</v>
      </c>
      <c r="B2" s="51"/>
      <c r="C2" s="4"/>
      <c r="D2" s="4"/>
      <c r="E2" s="4"/>
      <c r="F2" s="4"/>
      <c r="G2" s="4"/>
      <c r="H2" s="4"/>
      <c r="I2" s="8"/>
      <c r="J2" s="8"/>
      <c r="K2" s="8"/>
    </row>
    <row r="3" spans="1:11" ht="15.75">
      <c r="A3" s="10"/>
      <c r="B3" s="11"/>
      <c r="C3" s="8"/>
      <c r="D3" s="8"/>
      <c r="E3" s="8"/>
      <c r="F3" s="8"/>
      <c r="G3" s="8"/>
      <c r="H3" s="8"/>
      <c r="I3" s="8"/>
      <c r="J3" s="8"/>
      <c r="K3" s="8"/>
    </row>
    <row r="4" spans="1:11" ht="16.5" thickBot="1">
      <c r="A4" s="10"/>
      <c r="B4" s="11"/>
      <c r="C4" s="8"/>
      <c r="D4" s="8"/>
      <c r="E4" s="8"/>
      <c r="F4" s="8"/>
      <c r="G4" s="8"/>
      <c r="H4" s="8"/>
      <c r="I4" s="8"/>
      <c r="J4" s="8"/>
      <c r="K4" s="8"/>
    </row>
    <row r="5" spans="1:11" ht="15.75">
      <c r="A5" s="22" t="s">
        <v>1</v>
      </c>
      <c r="B5" s="23" t="s">
        <v>152</v>
      </c>
      <c r="C5" s="12"/>
      <c r="D5" s="12"/>
      <c r="E5" s="12"/>
      <c r="F5" s="12"/>
      <c r="G5" s="12"/>
      <c r="H5" s="12"/>
      <c r="I5" s="8"/>
      <c r="J5" s="8"/>
      <c r="K5" s="13"/>
    </row>
    <row r="6" spans="1:11" ht="15.75">
      <c r="A6" s="24" t="s">
        <v>2</v>
      </c>
      <c r="B6" s="53" t="s">
        <v>153</v>
      </c>
      <c r="C6" s="12"/>
      <c r="D6" s="12"/>
      <c r="E6" s="12"/>
      <c r="F6" s="12"/>
      <c r="G6" s="12"/>
      <c r="H6" s="12"/>
      <c r="I6" s="8"/>
      <c r="J6" s="8"/>
      <c r="K6" s="13"/>
    </row>
    <row r="7" spans="1:11" ht="15.75">
      <c r="A7" s="24" t="s">
        <v>113</v>
      </c>
      <c r="B7" s="25" t="s">
        <v>125</v>
      </c>
      <c r="C7" s="12"/>
      <c r="D7" s="12"/>
      <c r="E7" s="12"/>
      <c r="F7" s="12"/>
      <c r="G7" s="12"/>
      <c r="H7" s="12"/>
      <c r="I7" s="8"/>
      <c r="J7" s="8"/>
      <c r="K7" s="13"/>
    </row>
    <row r="8" spans="1:11" ht="30">
      <c r="A8" s="24" t="s">
        <v>3</v>
      </c>
      <c r="B8" s="39" t="s">
        <v>154</v>
      </c>
      <c r="D8" s="2"/>
      <c r="E8" s="2"/>
      <c r="F8" s="2"/>
      <c r="G8" s="2"/>
      <c r="H8" s="2"/>
      <c r="I8" s="8"/>
      <c r="J8" s="8"/>
      <c r="K8" s="13"/>
    </row>
    <row r="9" spans="1:11" ht="15.75">
      <c r="A9" s="24" t="s">
        <v>4</v>
      </c>
      <c r="B9" s="26" t="s">
        <v>126</v>
      </c>
      <c r="C9" s="14"/>
      <c r="D9" s="12"/>
      <c r="E9" s="12"/>
      <c r="F9" s="12"/>
      <c r="G9" s="12"/>
      <c r="H9" s="12"/>
      <c r="I9" s="8"/>
      <c r="J9" s="8"/>
      <c r="K9" s="13"/>
    </row>
    <row r="10" spans="1:11" ht="15.75">
      <c r="A10" s="27" t="s">
        <v>5</v>
      </c>
      <c r="B10" s="28" t="s">
        <v>121</v>
      </c>
      <c r="C10" s="14"/>
      <c r="D10" s="12"/>
      <c r="E10" s="12"/>
      <c r="F10" s="12"/>
      <c r="G10" s="12"/>
      <c r="H10" s="12"/>
      <c r="I10" s="8"/>
      <c r="J10" s="8"/>
      <c r="K10" s="13"/>
    </row>
    <row r="11" spans="1:11" ht="75">
      <c r="A11" s="27" t="s">
        <v>6</v>
      </c>
      <c r="B11" s="29" t="s">
        <v>124</v>
      </c>
      <c r="C11" s="14"/>
      <c r="D11" s="12"/>
      <c r="E11" s="12"/>
      <c r="F11" s="12"/>
      <c r="G11" s="12"/>
      <c r="H11" s="12"/>
      <c r="I11" s="8"/>
      <c r="J11" s="8"/>
      <c r="K11" s="13"/>
    </row>
    <row r="12" spans="1:11" ht="15.75">
      <c r="A12" s="24" t="s">
        <v>7</v>
      </c>
      <c r="B12" s="29" t="s">
        <v>118</v>
      </c>
      <c r="C12" s="12"/>
      <c r="D12" s="12"/>
      <c r="E12" s="12"/>
      <c r="F12" s="12"/>
      <c r="G12" s="12"/>
      <c r="H12" s="12"/>
      <c r="I12" s="8"/>
      <c r="J12" s="8"/>
      <c r="K12" s="15"/>
    </row>
    <row r="13" spans="1:11" ht="15.75">
      <c r="A13" s="24" t="s">
        <v>8</v>
      </c>
      <c r="B13" s="30">
        <f>COUNTIF('Issue List'!C:C,"Critical")</f>
        <v>9</v>
      </c>
      <c r="C13" s="12"/>
      <c r="D13" s="12"/>
      <c r="E13" s="12"/>
      <c r="F13" s="12"/>
      <c r="G13" s="12"/>
      <c r="H13" s="12"/>
      <c r="I13" s="8"/>
      <c r="J13" s="8"/>
      <c r="K13" s="8"/>
    </row>
    <row r="14" spans="1:11" ht="15.75">
      <c r="A14" s="24" t="s">
        <v>9</v>
      </c>
      <c r="B14" s="30">
        <f>COUNTIF('Issue List'!C:C,"Significant")</f>
        <v>1</v>
      </c>
      <c r="C14" s="12"/>
      <c r="D14" s="12"/>
      <c r="E14" s="12"/>
      <c r="F14" s="12"/>
      <c r="G14" s="12"/>
      <c r="H14" s="12"/>
      <c r="I14" s="8"/>
      <c r="J14" s="8"/>
      <c r="K14" s="8"/>
    </row>
    <row r="15" spans="1:11" ht="16.5" thickBot="1">
      <c r="A15" s="31" t="s">
        <v>10</v>
      </c>
      <c r="B15" s="32">
        <f>COUNTIF('Issue List'!C:C,"Minor")</f>
        <v>6</v>
      </c>
      <c r="C15" s="8"/>
      <c r="D15" s="8"/>
      <c r="E15" s="8"/>
      <c r="F15" s="8"/>
      <c r="G15" s="8"/>
      <c r="H15" s="8"/>
      <c r="I15" s="8"/>
      <c r="J15" s="8"/>
      <c r="K15" s="8"/>
    </row>
    <row r="16" spans="1:11" ht="15.75">
      <c r="A16" s="8"/>
      <c r="B16" s="5"/>
      <c r="C16" s="5"/>
      <c r="D16" s="5"/>
      <c r="E16" s="5"/>
      <c r="F16" s="5"/>
      <c r="G16" s="5"/>
      <c r="H16" s="5"/>
      <c r="I16" s="8"/>
      <c r="J16" s="8"/>
      <c r="K16" s="8"/>
    </row>
    <row r="17" spans="1:11">
      <c r="A17" s="8"/>
      <c r="B17" s="8"/>
      <c r="C17" s="16"/>
      <c r="D17" s="16"/>
      <c r="E17" s="16"/>
      <c r="F17" s="16"/>
      <c r="G17" s="16"/>
      <c r="H17" s="16"/>
      <c r="I17" s="8"/>
      <c r="J17" s="8"/>
      <c r="K17" s="8"/>
    </row>
    <row r="18" spans="1:11">
      <c r="B18" s="8"/>
      <c r="C18" s="16"/>
      <c r="D18" s="16"/>
      <c r="E18" s="16"/>
      <c r="F18" s="16"/>
      <c r="G18" s="16"/>
      <c r="H18" s="16"/>
    </row>
    <row r="19" spans="1:11">
      <c r="B19" s="8"/>
      <c r="C19" s="16"/>
      <c r="D19" s="16"/>
      <c r="E19" s="16"/>
      <c r="F19" s="16"/>
      <c r="G19" s="16"/>
      <c r="H19" s="16"/>
    </row>
    <row r="20" spans="1:11">
      <c r="B20" s="8"/>
      <c r="C20" s="16"/>
      <c r="D20" s="16"/>
      <c r="E20" s="16"/>
      <c r="F20" s="16"/>
      <c r="G20" s="16"/>
      <c r="H20" s="16"/>
    </row>
    <row r="21" spans="1:11">
      <c r="B21" s="8"/>
      <c r="C21" s="16"/>
      <c r="D21" s="16"/>
      <c r="E21" s="16"/>
      <c r="F21" s="16"/>
      <c r="G21" s="16"/>
      <c r="H21" s="16"/>
    </row>
    <row r="22" spans="1:11">
      <c r="B22" s="8"/>
      <c r="C22" s="16"/>
      <c r="D22" s="16"/>
      <c r="E22" s="16"/>
      <c r="F22" s="16"/>
      <c r="G22" s="16"/>
      <c r="H22" s="16"/>
    </row>
    <row r="23" spans="1:11">
      <c r="B23" s="8"/>
      <c r="C23" s="16"/>
      <c r="D23" s="16"/>
      <c r="E23" s="16"/>
      <c r="F23" s="16"/>
      <c r="G23" s="16"/>
      <c r="H23" s="16"/>
    </row>
    <row r="24" spans="1:11">
      <c r="B24" s="8"/>
      <c r="C24" s="16"/>
      <c r="D24" s="16"/>
      <c r="E24" s="16"/>
      <c r="F24" s="16"/>
      <c r="G24" s="16"/>
      <c r="H24" s="16"/>
    </row>
    <row r="25" spans="1:11">
      <c r="B25" s="8"/>
      <c r="C25" s="16"/>
      <c r="D25" s="16"/>
      <c r="E25" s="16"/>
      <c r="F25" s="16"/>
      <c r="G25" s="16"/>
      <c r="H25" s="16"/>
    </row>
    <row r="26" spans="1:11">
      <c r="B26" s="8"/>
      <c r="C26" s="16"/>
      <c r="D26" s="16"/>
      <c r="E26" s="16"/>
      <c r="F26" s="16"/>
      <c r="G26" s="16"/>
      <c r="H26" s="16"/>
    </row>
    <row r="27" spans="1:11">
      <c r="B27" s="8"/>
      <c r="C27" s="16"/>
      <c r="D27" s="16"/>
      <c r="E27" s="16"/>
      <c r="F27" s="16"/>
      <c r="G27" s="16"/>
      <c r="H27" s="16"/>
    </row>
    <row r="28" spans="1:11">
      <c r="B28" s="8"/>
      <c r="C28" s="16"/>
      <c r="D28" s="16"/>
      <c r="E28" s="16"/>
      <c r="F28" s="16"/>
      <c r="G28" s="16"/>
      <c r="H28" s="16"/>
    </row>
    <row r="29" spans="1:11">
      <c r="B29" s="8"/>
      <c r="C29" s="16"/>
      <c r="D29" s="16"/>
      <c r="E29" s="16"/>
      <c r="F29" s="16"/>
      <c r="G29" s="16"/>
      <c r="H29" s="16"/>
    </row>
    <row r="30" spans="1:11">
      <c r="B30" s="8"/>
      <c r="C30" s="16"/>
      <c r="D30" s="16"/>
      <c r="E30" s="16"/>
      <c r="F30" s="16"/>
      <c r="G30" s="16"/>
      <c r="H30" s="16"/>
    </row>
    <row r="31" spans="1:11">
      <c r="B31" s="8"/>
      <c r="C31" s="16"/>
      <c r="D31" s="16"/>
      <c r="E31" s="16"/>
      <c r="F31" s="16"/>
      <c r="G31" s="16"/>
      <c r="H31" s="16"/>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6" operator="containsText" text="Minor Remediation">
      <formula>NOT(ISERROR(SEARCH("Minor Remediation",B10)))</formula>
    </cfRule>
    <cfRule type="containsText" dxfId="5" priority="7" operator="containsText" text="No Remediation">
      <formula>NOT(ISERROR(SEARCH("No Remediation",B10)))</formula>
    </cfRule>
    <cfRule type="containsText" dxfId="4" priority="8" operator="containsText" text="Blank">
      <formula>NOT(ISERROR(SEARCH("Blank",B10)))</formula>
    </cfRule>
    <cfRule type="containsText" dxfId="3" priority="9" operator="containsText" text="Approved">
      <formula>NOT(ISERROR(SEARCH("Approved",B10)))</formula>
    </cfRule>
    <cfRule type="cellIs" dxfId="2" priority="10" operator="equal">
      <formula>"Not Approved"</formula>
    </cfRule>
    <cfRule type="cellIs" dxfId="1" priority="11" operator="equal">
      <formula>"Conditionally Approved"</formula>
    </cfRule>
    <cfRule type="cellIs" dxfId="0" priority="12" operator="equal">
      <formula>"Approved"</formula>
    </cfRule>
  </conditionalFormatting>
  <dataValidations count="2">
    <dataValidation type="list" allowBlank="1" showInputMessage="1" showErrorMessage="1" promptTitle="Select a Status" sqref="B10" xr:uid="{00000000-0002-0000-0000-000000000000}">
      <formula1>"Select a Status, No Remediation, Minor Remediation, Moderate Remediation, Extensive Remediation"</formula1>
    </dataValidation>
    <dataValidation type="list" allowBlank="1" showInputMessage="1" showErrorMessage="1" sqref="B7" xr:uid="{00000000-0002-0000-0000-000001000000}">
      <formula1>"Select one, Excel, PDF, Webpage, Word Document, Video"</formula1>
    </dataValidation>
  </dataValidations>
  <hyperlinks>
    <hyperlink ref="B8" r:id="rId1" xr:uid="{14B00BBD-713E-4864-9AA0-7962E6AACD26}"/>
  </hyperlinks>
  <pageMargins left="0.7" right="0.7" top="0.75" bottom="0.75" header="0.3" footer="0.3"/>
  <pageSetup orientation="portrait" horizontalDpi="100" verticalDpi="1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59999389629810485"/>
  </sheetPr>
  <dimension ref="A1:O17"/>
  <sheetViews>
    <sheetView tabSelected="1" topLeftCell="B1" zoomScale="130" zoomScaleNormal="130" workbookViewId="0">
      <selection activeCell="E7" sqref="E7"/>
    </sheetView>
  </sheetViews>
  <sheetFormatPr defaultColWidth="9.140625" defaultRowHeight="15.75" customHeight="1"/>
  <cols>
    <col min="1" max="1" width="40" style="33" customWidth="1"/>
    <col min="2" max="2" width="27.7109375" style="33" customWidth="1"/>
    <col min="3" max="3" width="9.140625" style="33" customWidth="1"/>
    <col min="4" max="4" width="25.7109375" style="33" customWidth="1"/>
    <col min="5" max="5" width="21.5703125" style="33" bestFit="1" customWidth="1"/>
    <col min="6" max="6" width="21.5703125" style="33" customWidth="1"/>
    <col min="7" max="7" width="30.7109375" style="33" customWidth="1"/>
    <col min="8" max="8" width="23.140625" style="33" bestFit="1" customWidth="1"/>
    <col min="9" max="9" width="27.85546875" style="33" customWidth="1"/>
    <col min="10" max="10" width="65.42578125" style="33" customWidth="1"/>
    <col min="11" max="11" width="34.7109375" style="33" customWidth="1"/>
    <col min="12" max="12" width="44" style="33" customWidth="1"/>
    <col min="13" max="13" width="22.140625" style="33" bestFit="1" customWidth="1"/>
    <col min="14" max="14" width="18.85546875" style="33" bestFit="1" customWidth="1"/>
    <col min="15" max="15" width="27.7109375" style="33" customWidth="1"/>
    <col min="16" max="16" width="18.85546875" style="33" bestFit="1" customWidth="1"/>
    <col min="17" max="17" width="16.85546875" style="33" bestFit="1" customWidth="1"/>
    <col min="18" max="18" width="11.7109375" style="33" customWidth="1"/>
    <col min="19" max="16384" width="9.140625" style="33"/>
  </cols>
  <sheetData>
    <row r="1" spans="1:15" s="36" customFormat="1" ht="32.25" thickBot="1">
      <c r="A1" s="35" t="s">
        <v>11</v>
      </c>
      <c r="B1" s="35" t="s">
        <v>12</v>
      </c>
      <c r="C1" s="35" t="s">
        <v>13</v>
      </c>
      <c r="D1" s="35" t="s">
        <v>14</v>
      </c>
      <c r="E1" s="35" t="s">
        <v>15</v>
      </c>
      <c r="F1" s="35" t="s">
        <v>16</v>
      </c>
      <c r="G1" s="35" t="s">
        <v>17</v>
      </c>
      <c r="H1" s="35" t="s">
        <v>18</v>
      </c>
      <c r="I1" s="35" t="s">
        <v>19</v>
      </c>
      <c r="J1" s="35" t="s">
        <v>20</v>
      </c>
      <c r="K1" s="35" t="s">
        <v>21</v>
      </c>
      <c r="L1" s="35" t="s">
        <v>22</v>
      </c>
    </row>
    <row r="2" spans="1:15" s="54" customFormat="1" ht="19.5" customHeight="1" thickBot="1">
      <c r="A2" s="40" t="s">
        <v>155</v>
      </c>
      <c r="B2" s="34" t="s">
        <v>80</v>
      </c>
      <c r="C2" s="34" t="s">
        <v>116</v>
      </c>
      <c r="D2" s="34" t="s">
        <v>156</v>
      </c>
      <c r="E2" s="34" t="s">
        <v>127</v>
      </c>
      <c r="F2" s="34" t="s">
        <v>128</v>
      </c>
      <c r="G2" s="34" t="s">
        <v>129</v>
      </c>
      <c r="H2" s="34" t="s">
        <v>130</v>
      </c>
      <c r="I2" s="34" t="s">
        <v>131</v>
      </c>
      <c r="J2" s="34" t="s">
        <v>157</v>
      </c>
      <c r="K2" s="37"/>
      <c r="L2" s="34"/>
    </row>
    <row r="3" spans="1:15" s="54" customFormat="1" ht="19.5" customHeight="1">
      <c r="A3" s="55" t="s">
        <v>160</v>
      </c>
      <c r="B3" s="56" t="s">
        <v>67</v>
      </c>
      <c r="C3" s="57" t="s">
        <v>116</v>
      </c>
      <c r="D3" s="57" t="s">
        <v>191</v>
      </c>
      <c r="E3" s="57" t="s">
        <v>192</v>
      </c>
      <c r="F3" s="57" t="s">
        <v>193</v>
      </c>
      <c r="G3" s="57" t="s">
        <v>194</v>
      </c>
      <c r="H3" s="57" t="s">
        <v>132</v>
      </c>
      <c r="I3" s="34" t="s">
        <v>131</v>
      </c>
      <c r="J3" s="34" t="s">
        <v>187</v>
      </c>
      <c r="K3" s="58"/>
      <c r="L3" s="59"/>
    </row>
    <row r="4" spans="1:15" s="47" customFormat="1" ht="19.5" customHeight="1">
      <c r="A4" s="45" t="s">
        <v>142</v>
      </c>
      <c r="B4" s="42" t="s">
        <v>58</v>
      </c>
      <c r="C4" s="42" t="s">
        <v>116</v>
      </c>
      <c r="D4" s="42" t="s">
        <v>158</v>
      </c>
      <c r="E4" s="42" t="s">
        <v>143</v>
      </c>
      <c r="F4" s="42" t="s">
        <v>144</v>
      </c>
      <c r="G4" s="42" t="s">
        <v>145</v>
      </c>
      <c r="H4" s="42" t="s">
        <v>130</v>
      </c>
      <c r="I4" s="42" t="s">
        <v>146</v>
      </c>
      <c r="J4" s="42" t="s">
        <v>150</v>
      </c>
      <c r="K4" s="43"/>
      <c r="L4" s="42"/>
      <c r="M4" s="46"/>
      <c r="O4" s="46"/>
    </row>
    <row r="5" spans="1:15" s="54" customFormat="1" ht="19.5" customHeight="1">
      <c r="A5" s="55" t="s">
        <v>159</v>
      </c>
      <c r="B5" s="56" t="s">
        <v>64</v>
      </c>
      <c r="C5" s="42" t="s">
        <v>116</v>
      </c>
      <c r="D5" s="57" t="s">
        <v>195</v>
      </c>
      <c r="E5" s="57" t="s">
        <v>196</v>
      </c>
      <c r="F5" s="57" t="s">
        <v>197</v>
      </c>
      <c r="G5" s="57" t="s">
        <v>198</v>
      </c>
      <c r="H5" s="57" t="s">
        <v>132</v>
      </c>
      <c r="I5" s="57" t="s">
        <v>133</v>
      </c>
      <c r="J5" s="57" t="s">
        <v>161</v>
      </c>
      <c r="K5" s="58"/>
      <c r="L5" s="59"/>
    </row>
    <row r="6" spans="1:15" s="54" customFormat="1" ht="19.5" customHeight="1">
      <c r="A6" s="55" t="s">
        <v>162</v>
      </c>
      <c r="B6" s="56" t="s">
        <v>54</v>
      </c>
      <c r="C6" s="57" t="s">
        <v>114</v>
      </c>
      <c r="D6" s="57" t="s">
        <v>163</v>
      </c>
      <c r="E6" s="57" t="s">
        <v>199</v>
      </c>
      <c r="F6" s="57" t="s">
        <v>200</v>
      </c>
      <c r="G6" s="57" t="s">
        <v>201</v>
      </c>
      <c r="H6" s="57" t="s">
        <v>132</v>
      </c>
      <c r="I6" s="57" t="s">
        <v>202</v>
      </c>
      <c r="J6" s="57" t="s">
        <v>203</v>
      </c>
      <c r="K6" s="58"/>
      <c r="L6" s="59"/>
    </row>
    <row r="7" spans="1:15" s="54" customFormat="1" ht="19.5" customHeight="1">
      <c r="A7" s="55" t="s">
        <v>208</v>
      </c>
      <c r="B7" s="56" t="s">
        <v>47</v>
      </c>
      <c r="C7" s="57" t="s">
        <v>114</v>
      </c>
      <c r="D7" s="57" t="s">
        <v>205</v>
      </c>
      <c r="E7" s="57" t="s">
        <v>204</v>
      </c>
      <c r="F7" s="57" t="s">
        <v>206</v>
      </c>
      <c r="G7" s="57" t="s">
        <v>207</v>
      </c>
      <c r="H7" s="57" t="s">
        <v>132</v>
      </c>
      <c r="I7" s="57" t="s">
        <v>117</v>
      </c>
      <c r="J7" s="57" t="s">
        <v>188</v>
      </c>
      <c r="K7" s="58"/>
      <c r="L7" s="59"/>
    </row>
    <row r="8" spans="1:15" s="54" customFormat="1" ht="19.5" customHeight="1">
      <c r="A8" s="55" t="s">
        <v>148</v>
      </c>
      <c r="B8" s="56" t="s">
        <v>53</v>
      </c>
      <c r="C8" s="57" t="s">
        <v>123</v>
      </c>
      <c r="D8" s="57" t="s">
        <v>209</v>
      </c>
      <c r="E8" s="57" t="s">
        <v>210</v>
      </c>
      <c r="F8" s="57" t="s">
        <v>211</v>
      </c>
      <c r="G8" s="57" t="s">
        <v>212</v>
      </c>
      <c r="H8" s="57" t="s">
        <v>115</v>
      </c>
      <c r="I8" s="57" t="s">
        <v>117</v>
      </c>
      <c r="J8" s="57" t="s">
        <v>164</v>
      </c>
      <c r="K8" s="58"/>
      <c r="L8" s="59"/>
    </row>
    <row r="9" spans="1:15" s="54" customFormat="1" ht="19.5" customHeight="1">
      <c r="A9" s="55" t="s">
        <v>165</v>
      </c>
      <c r="B9" s="56" t="s">
        <v>100</v>
      </c>
      <c r="C9" s="57" t="s">
        <v>114</v>
      </c>
      <c r="D9" s="57" t="s">
        <v>214</v>
      </c>
      <c r="E9" s="57" t="s">
        <v>215</v>
      </c>
      <c r="F9" s="57" t="s">
        <v>216</v>
      </c>
      <c r="G9" s="57" t="s">
        <v>217</v>
      </c>
      <c r="H9" s="57" t="s">
        <v>115</v>
      </c>
      <c r="I9" s="57"/>
      <c r="J9" s="57" t="s">
        <v>213</v>
      </c>
      <c r="K9" s="58"/>
      <c r="L9" s="59"/>
    </row>
    <row r="10" spans="1:15" s="61" customFormat="1" ht="19.5" customHeight="1">
      <c r="A10" s="60" t="s">
        <v>166</v>
      </c>
      <c r="B10" s="57" t="s">
        <v>74</v>
      </c>
      <c r="C10" s="57" t="s">
        <v>116</v>
      </c>
      <c r="D10" s="57" t="s">
        <v>167</v>
      </c>
      <c r="E10" s="57" t="s">
        <v>168</v>
      </c>
      <c r="F10" s="57" t="s">
        <v>169</v>
      </c>
      <c r="G10" s="57" t="s">
        <v>170</v>
      </c>
      <c r="H10" s="57" t="s">
        <v>115</v>
      </c>
      <c r="I10" s="57" t="s">
        <v>117</v>
      </c>
      <c r="J10" s="57" t="s">
        <v>177</v>
      </c>
      <c r="K10" s="39"/>
      <c r="L10" s="57"/>
    </row>
    <row r="11" spans="1:15" s="61" customFormat="1" ht="19.5" customHeight="1">
      <c r="A11" s="60" t="s">
        <v>171</v>
      </c>
      <c r="B11" s="57" t="s">
        <v>74</v>
      </c>
      <c r="C11" s="57" t="s">
        <v>114</v>
      </c>
      <c r="D11" s="57" t="s">
        <v>172</v>
      </c>
      <c r="E11" s="57" t="s">
        <v>173</v>
      </c>
      <c r="F11" s="57" t="s">
        <v>138</v>
      </c>
      <c r="G11" s="57" t="s">
        <v>139</v>
      </c>
      <c r="H11" s="57" t="s">
        <v>115</v>
      </c>
      <c r="I11" s="57" t="s">
        <v>174</v>
      </c>
      <c r="J11" s="57" t="s">
        <v>178</v>
      </c>
      <c r="K11" s="39"/>
      <c r="L11" s="57"/>
    </row>
    <row r="12" spans="1:15" s="54" customFormat="1" ht="19.5" customHeight="1">
      <c r="A12" s="55" t="s">
        <v>175</v>
      </c>
      <c r="B12" s="56" t="s">
        <v>100</v>
      </c>
      <c r="C12" s="57" t="s">
        <v>116</v>
      </c>
      <c r="D12" s="57" t="s">
        <v>176</v>
      </c>
      <c r="E12" s="57" t="s">
        <v>218</v>
      </c>
      <c r="F12" s="57" t="s">
        <v>219</v>
      </c>
      <c r="G12" s="57" t="s">
        <v>220</v>
      </c>
      <c r="H12" s="57" t="s">
        <v>132</v>
      </c>
      <c r="I12" s="57" t="s">
        <v>117</v>
      </c>
      <c r="J12" s="57" t="s">
        <v>221</v>
      </c>
      <c r="K12" s="58"/>
      <c r="L12" s="59"/>
    </row>
    <row r="13" spans="1:15" s="54" customFormat="1" ht="19.5" customHeight="1">
      <c r="A13" s="55" t="s">
        <v>179</v>
      </c>
      <c r="B13" s="56" t="s">
        <v>53</v>
      </c>
      <c r="C13" s="57" t="s">
        <v>114</v>
      </c>
      <c r="D13" s="57" t="s">
        <v>180</v>
      </c>
      <c r="E13" s="57" t="s">
        <v>222</v>
      </c>
      <c r="F13" s="57" t="s">
        <v>223</v>
      </c>
      <c r="G13" s="57" t="s">
        <v>224</v>
      </c>
      <c r="H13" s="57" t="s">
        <v>132</v>
      </c>
      <c r="I13" s="57" t="s">
        <v>117</v>
      </c>
      <c r="J13" s="57" t="s">
        <v>181</v>
      </c>
      <c r="K13" s="58"/>
      <c r="L13" s="59"/>
    </row>
    <row r="14" spans="1:15" s="44" customFormat="1" ht="19.5" customHeight="1">
      <c r="A14" s="49" t="s">
        <v>141</v>
      </c>
      <c r="B14" s="41" t="s">
        <v>67</v>
      </c>
      <c r="C14" s="42" t="s">
        <v>114</v>
      </c>
      <c r="D14" s="41" t="s">
        <v>182</v>
      </c>
      <c r="E14" s="47" t="s">
        <v>151</v>
      </c>
      <c r="F14" s="42" t="s">
        <v>138</v>
      </c>
      <c r="G14" s="42" t="s">
        <v>139</v>
      </c>
      <c r="H14" s="42" t="s">
        <v>132</v>
      </c>
      <c r="I14" s="44" t="s">
        <v>149</v>
      </c>
      <c r="J14" s="41" t="s">
        <v>140</v>
      </c>
    </row>
    <row r="15" spans="1:15" s="44" customFormat="1" ht="19.5" customHeight="1" thickBot="1">
      <c r="A15" s="48" t="s">
        <v>147</v>
      </c>
      <c r="B15" s="41" t="s">
        <v>64</v>
      </c>
      <c r="C15" s="42" t="s">
        <v>116</v>
      </c>
      <c r="D15" s="44" t="s">
        <v>185</v>
      </c>
      <c r="E15" s="42" t="s">
        <v>135</v>
      </c>
      <c r="F15" s="42" t="s">
        <v>136</v>
      </c>
      <c r="G15" s="42" t="s">
        <v>137</v>
      </c>
      <c r="H15" s="42" t="s">
        <v>132</v>
      </c>
      <c r="I15" s="44" t="s">
        <v>134</v>
      </c>
      <c r="J15" s="44" t="s">
        <v>186</v>
      </c>
    </row>
    <row r="16" spans="1:15" s="38" customFormat="1" ht="19.5" customHeight="1">
      <c r="A16" s="55" t="s">
        <v>183</v>
      </c>
      <c r="B16" s="56" t="s">
        <v>87</v>
      </c>
      <c r="C16" s="57" t="s">
        <v>116</v>
      </c>
      <c r="D16" s="57" t="s">
        <v>184</v>
      </c>
      <c r="E16" s="57" t="s">
        <v>225</v>
      </c>
      <c r="F16" s="57" t="s">
        <v>226</v>
      </c>
      <c r="G16" s="57" t="s">
        <v>227</v>
      </c>
      <c r="H16" s="57" t="s">
        <v>115</v>
      </c>
      <c r="I16" s="57" t="s">
        <v>133</v>
      </c>
      <c r="J16" s="57" t="s">
        <v>232</v>
      </c>
      <c r="K16" s="58"/>
      <c r="L16" s="59"/>
    </row>
    <row r="17" spans="1:12" ht="19.5" customHeight="1">
      <c r="A17" s="62" t="s">
        <v>189</v>
      </c>
      <c r="B17" s="56" t="s">
        <v>77</v>
      </c>
      <c r="C17" s="57" t="s">
        <v>116</v>
      </c>
      <c r="D17" s="35" t="s">
        <v>228</v>
      </c>
      <c r="E17" s="35" t="s">
        <v>229</v>
      </c>
      <c r="F17" s="35" t="s">
        <v>230</v>
      </c>
      <c r="G17" s="35" t="s">
        <v>231</v>
      </c>
      <c r="H17" s="35" t="s">
        <v>132</v>
      </c>
      <c r="I17" s="35" t="s">
        <v>117</v>
      </c>
      <c r="J17" s="35" t="s">
        <v>190</v>
      </c>
      <c r="K17" s="63"/>
      <c r="L17" s="64"/>
    </row>
  </sheetData>
  <dataValidations count="2">
    <dataValidation type="list" allowBlank="1" showInputMessage="1" showErrorMessage="1" promptTitle="Issue Persistence" prompt="Global - The entire product_x000a_Partial - Several instances_x000a_Single - A single instance" sqref="H2:H17" xr:uid="{00000000-0002-0000-0100-000003000000}">
      <formula1>"Global, Partial, Single"</formula1>
    </dataValidation>
    <dataValidation type="list" allowBlank="1" showInputMessage="1" showErrorMessage="1" promptTitle="Severity Level" prompt="Critical - Stops all progress_x000a_Significant - Interferes with progress_x000a_Minor - Annoyance" sqref="C2:C17" xr:uid="{00000000-0002-0000-0100-000002000000}">
      <formula1>"Minor, Significant, Critical"</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WCAG Success Criteria" prompt="Select all applicable criteria for each issue." xr:uid="{4F197AFF-DC73-404A-8A68-D46C4702DBF2}">
          <x14:formula1>
            <xm:f>'WCAG 2.2 A-AA'!$A$2:$A$56</xm:f>
          </x14:formula1>
          <xm:sqref>B2:B9 B12:B17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tint="0.59999389629810485"/>
  </sheetPr>
  <dimension ref="A1:B3"/>
  <sheetViews>
    <sheetView workbookViewId="0">
      <selection activeCell="A2" sqref="A2:B4"/>
    </sheetView>
  </sheetViews>
  <sheetFormatPr defaultColWidth="9.140625" defaultRowHeight="15"/>
  <cols>
    <col min="1" max="1" width="26.7109375" style="7" customWidth="1"/>
    <col min="2" max="2" width="112.7109375" style="7" customWidth="1"/>
    <col min="3" max="16384" width="9.140625" style="7"/>
  </cols>
  <sheetData>
    <row r="1" spans="1:2">
      <c r="A1" s="9" t="s">
        <v>11</v>
      </c>
      <c r="B1" s="9" t="s">
        <v>21</v>
      </c>
    </row>
    <row r="2" spans="1:2">
      <c r="A2" s="20"/>
      <c r="B2" s="21"/>
    </row>
    <row r="3" spans="1:2">
      <c r="A3" s="20"/>
      <c r="B3"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499984740745262"/>
  </sheetPr>
  <dimension ref="A1:B19"/>
  <sheetViews>
    <sheetView workbookViewId="0">
      <selection activeCell="B4" sqref="B4"/>
    </sheetView>
  </sheetViews>
  <sheetFormatPr defaultRowHeight="15"/>
  <cols>
    <col min="1" max="1" width="43.42578125" customWidth="1"/>
    <col min="2" max="2" width="26.28515625" customWidth="1"/>
  </cols>
  <sheetData>
    <row r="1" spans="1:2" ht="18">
      <c r="A1" s="52" t="s">
        <v>23</v>
      </c>
      <c r="B1" s="52"/>
    </row>
    <row r="2" spans="1:2">
      <c r="A2" s="17" t="s">
        <v>24</v>
      </c>
      <c r="B2" s="16" t="s">
        <v>25</v>
      </c>
    </row>
    <row r="3" spans="1:2">
      <c r="A3" s="18" t="s">
        <v>26</v>
      </c>
      <c r="B3" s="19" t="s">
        <v>122</v>
      </c>
    </row>
    <row r="4" spans="1:2">
      <c r="A4" s="18" t="s">
        <v>27</v>
      </c>
      <c r="B4" s="19"/>
    </row>
    <row r="5" spans="1:2">
      <c r="A5" s="18" t="s">
        <v>28</v>
      </c>
      <c r="B5" s="19" t="s">
        <v>119</v>
      </c>
    </row>
    <row r="6" spans="1:2">
      <c r="A6" s="18" t="s">
        <v>29</v>
      </c>
      <c r="B6" s="19" t="s">
        <v>104</v>
      </c>
    </row>
    <row r="7" spans="1:2">
      <c r="A7" s="18" t="s">
        <v>30</v>
      </c>
      <c r="B7" s="19" t="s">
        <v>105</v>
      </c>
    </row>
    <row r="8" spans="1:2">
      <c r="A8" s="18" t="s">
        <v>31</v>
      </c>
      <c r="B8" s="19" t="s">
        <v>120</v>
      </c>
    </row>
    <row r="9" spans="1:2" ht="15" customHeight="1">
      <c r="A9" s="18" t="s">
        <v>32</v>
      </c>
      <c r="B9" s="19" t="s">
        <v>107</v>
      </c>
    </row>
    <row r="10" spans="1:2">
      <c r="A10" s="18" t="s">
        <v>33</v>
      </c>
      <c r="B10" s="19" t="s">
        <v>34</v>
      </c>
    </row>
    <row r="11" spans="1:2">
      <c r="A11" s="18" t="s">
        <v>35</v>
      </c>
      <c r="B11" s="19" t="s">
        <v>36</v>
      </c>
    </row>
    <row r="12" spans="1:2">
      <c r="A12" s="18" t="s">
        <v>37</v>
      </c>
      <c r="B12" s="19" t="s">
        <v>38</v>
      </c>
    </row>
    <row r="13" spans="1:2">
      <c r="A13" s="18" t="s">
        <v>39</v>
      </c>
      <c r="B13" s="19" t="s">
        <v>106</v>
      </c>
    </row>
    <row r="14" spans="1:2">
      <c r="A14" s="18" t="s">
        <v>40</v>
      </c>
      <c r="B14" s="19" t="s">
        <v>41</v>
      </c>
    </row>
    <row r="15" spans="1:2">
      <c r="A15" s="18" t="s">
        <v>42</v>
      </c>
      <c r="B15" s="19" t="s">
        <v>108</v>
      </c>
    </row>
    <row r="16" spans="1:2">
      <c r="A16" s="18" t="s">
        <v>43</v>
      </c>
      <c r="B16" s="19" t="s">
        <v>109</v>
      </c>
    </row>
    <row r="17" spans="1:2">
      <c r="A17" s="18" t="s">
        <v>44</v>
      </c>
      <c r="B17" s="19" t="s">
        <v>110</v>
      </c>
    </row>
    <row r="18" spans="1:2">
      <c r="A18" s="18" t="s">
        <v>45</v>
      </c>
      <c r="B18" s="19" t="s">
        <v>111</v>
      </c>
    </row>
    <row r="19" spans="1:2">
      <c r="A19" s="19" t="s">
        <v>102</v>
      </c>
      <c r="B19" s="19" t="s">
        <v>103</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499984740745262"/>
  </sheetPr>
  <dimension ref="A1:A56"/>
  <sheetViews>
    <sheetView workbookViewId="0">
      <selection activeCell="B53" sqref="B53"/>
    </sheetView>
  </sheetViews>
  <sheetFormatPr defaultRowHeight="15"/>
  <cols>
    <col min="1" max="1" width="63.140625" bestFit="1" customWidth="1"/>
  </cols>
  <sheetData>
    <row r="1" spans="1:1" ht="15.75">
      <c r="A1" s="9" t="s">
        <v>46</v>
      </c>
    </row>
    <row r="2" spans="1:1" ht="15.75">
      <c r="A2" s="6" t="s">
        <v>47</v>
      </c>
    </row>
    <row r="3" spans="1:1" ht="15.75">
      <c r="A3" s="6" t="s">
        <v>48</v>
      </c>
    </row>
    <row r="4" spans="1:1" ht="15.75">
      <c r="A4" s="6" t="s">
        <v>49</v>
      </c>
    </row>
    <row r="5" spans="1:1" ht="15.75">
      <c r="A5" s="6" t="s">
        <v>50</v>
      </c>
    </row>
    <row r="6" spans="1:1" ht="15.75">
      <c r="A6" s="6" t="s">
        <v>51</v>
      </c>
    </row>
    <row r="7" spans="1:1" ht="15.75">
      <c r="A7" s="6" t="s">
        <v>52</v>
      </c>
    </row>
    <row r="8" spans="1:1" ht="15.75">
      <c r="A8" s="6" t="s">
        <v>53</v>
      </c>
    </row>
    <row r="9" spans="1:1" ht="15.75">
      <c r="A9" s="6" t="s">
        <v>54</v>
      </c>
    </row>
    <row r="10" spans="1:1" ht="15.75">
      <c r="A10" s="6" t="s">
        <v>55</v>
      </c>
    </row>
    <row r="11" spans="1:1" ht="15.75">
      <c r="A11" s="6" t="s">
        <v>56</v>
      </c>
    </row>
    <row r="12" spans="1:1" ht="15.75">
      <c r="A12" s="6" t="s">
        <v>57</v>
      </c>
    </row>
    <row r="13" spans="1:1" ht="15.75">
      <c r="A13" s="6" t="s">
        <v>58</v>
      </c>
    </row>
    <row r="14" spans="1:1" ht="15.75">
      <c r="A14" s="6" t="s">
        <v>59</v>
      </c>
    </row>
    <row r="15" spans="1:1" ht="15.75">
      <c r="A15" s="6" t="s">
        <v>60</v>
      </c>
    </row>
    <row r="16" spans="1:1" ht="15.75">
      <c r="A16" s="6" t="s">
        <v>61</v>
      </c>
    </row>
    <row r="17" spans="1:1" ht="15.75">
      <c r="A17" s="6" t="s">
        <v>62</v>
      </c>
    </row>
    <row r="18" spans="1:1" ht="15.75">
      <c r="A18" s="6" t="s">
        <v>63</v>
      </c>
    </row>
    <row r="19" spans="1:1" ht="15.75">
      <c r="A19" s="6" t="s">
        <v>64</v>
      </c>
    </row>
    <row r="20" spans="1:1" ht="15.75">
      <c r="A20" s="6" t="s">
        <v>65</v>
      </c>
    </row>
    <row r="21" spans="1:1" ht="15.75">
      <c r="A21" s="6" t="s">
        <v>66</v>
      </c>
    </row>
    <row r="22" spans="1:1" ht="15.75">
      <c r="A22" s="6" t="s">
        <v>67</v>
      </c>
    </row>
    <row r="23" spans="1:1" ht="15.75">
      <c r="A23" s="6" t="s">
        <v>68</v>
      </c>
    </row>
    <row r="24" spans="1:1" ht="15.75">
      <c r="A24" s="6" t="s">
        <v>69</v>
      </c>
    </row>
    <row r="25" spans="1:1" ht="15.75">
      <c r="A25" s="6" t="s">
        <v>70</v>
      </c>
    </row>
    <row r="26" spans="1:1" ht="15.75">
      <c r="A26" s="6" t="s">
        <v>71</v>
      </c>
    </row>
    <row r="27" spans="1:1" ht="15.75">
      <c r="A27" s="6" t="s">
        <v>72</v>
      </c>
    </row>
    <row r="28" spans="1:1" ht="15.75">
      <c r="A28" s="6" t="s">
        <v>73</v>
      </c>
    </row>
    <row r="29" spans="1:1" ht="15.75">
      <c r="A29" s="6" t="s">
        <v>74</v>
      </c>
    </row>
    <row r="30" spans="1:1" ht="15.75">
      <c r="A30" s="6" t="s">
        <v>75</v>
      </c>
    </row>
    <row r="31" spans="1:1" ht="15.75">
      <c r="A31" s="6" t="s">
        <v>76</v>
      </c>
    </row>
    <row r="32" spans="1:1" ht="15.75">
      <c r="A32" s="6" t="s">
        <v>77</v>
      </c>
    </row>
    <row r="33" spans="1:1" ht="15.75">
      <c r="A33" s="6" t="s">
        <v>78</v>
      </c>
    </row>
    <row r="34" spans="1:1" ht="15.75">
      <c r="A34" s="6" t="s">
        <v>79</v>
      </c>
    </row>
    <row r="35" spans="1:1" ht="15.75">
      <c r="A35" s="6" t="s">
        <v>80</v>
      </c>
    </row>
    <row r="36" spans="1:1" ht="15.75">
      <c r="A36" s="6" t="s">
        <v>81</v>
      </c>
    </row>
    <row r="37" spans="1:1" ht="15.75">
      <c r="A37" s="6" t="s">
        <v>82</v>
      </c>
    </row>
    <row r="38" spans="1:1" ht="15.75">
      <c r="A38" s="6" t="s">
        <v>83</v>
      </c>
    </row>
    <row r="39" spans="1:1" ht="15.75">
      <c r="A39" s="6" t="s">
        <v>84</v>
      </c>
    </row>
    <row r="40" spans="1:1" ht="15.75">
      <c r="A40" s="6" t="s">
        <v>85</v>
      </c>
    </row>
    <row r="41" spans="1:1" ht="15.75">
      <c r="A41" s="6" t="s">
        <v>86</v>
      </c>
    </row>
    <row r="42" spans="1:1" ht="15.75">
      <c r="A42" s="6" t="s">
        <v>87</v>
      </c>
    </row>
    <row r="43" spans="1:1" ht="15.75">
      <c r="A43" s="6" t="s">
        <v>88</v>
      </c>
    </row>
    <row r="44" spans="1:1" ht="15.75">
      <c r="A44" s="6" t="s">
        <v>89</v>
      </c>
    </row>
    <row r="45" spans="1:1" ht="15.75">
      <c r="A45" s="6" t="s">
        <v>90</v>
      </c>
    </row>
    <row r="46" spans="1:1" ht="15.75">
      <c r="A46" s="6" t="s">
        <v>91</v>
      </c>
    </row>
    <row r="47" spans="1:1" ht="15.75">
      <c r="A47" s="6" t="s">
        <v>92</v>
      </c>
    </row>
    <row r="48" spans="1:1" ht="15.75">
      <c r="A48" s="6" t="s">
        <v>93</v>
      </c>
    </row>
    <row r="49" spans="1:1" ht="15.75">
      <c r="A49" s="6" t="s">
        <v>94</v>
      </c>
    </row>
    <row r="50" spans="1:1" ht="15.75">
      <c r="A50" s="6" t="s">
        <v>95</v>
      </c>
    </row>
    <row r="51" spans="1:1" ht="15.75">
      <c r="A51" s="6" t="s">
        <v>96</v>
      </c>
    </row>
    <row r="52" spans="1:1" s="6" customFormat="1">
      <c r="A52" s="6" t="s">
        <v>97</v>
      </c>
    </row>
    <row r="53" spans="1:1" ht="15.75">
      <c r="A53" s="6" t="s">
        <v>98</v>
      </c>
    </row>
    <row r="54" spans="1:1" ht="15.75">
      <c r="A54" s="6" t="s">
        <v>99</v>
      </c>
    </row>
    <row r="55" spans="1:1" ht="15.75">
      <c r="A55" s="6" t="s">
        <v>100</v>
      </c>
    </row>
    <row r="56" spans="1:1" ht="15.75">
      <c r="A56" s="6" t="s">
        <v>101</v>
      </c>
    </row>
  </sheetData>
  <hyperlinks>
    <hyperlink ref="A2" r:id="rId1" location="non-text-content" xr:uid="{00000000-0004-0000-0400-000000000000}"/>
    <hyperlink ref="A3" r:id="rId2" location="audio-only-and-video-only-prerecorded" xr:uid="{00000000-0004-0000-0400-000001000000}"/>
    <hyperlink ref="A4" r:id="rId3" location="captions-prerecorded" xr:uid="{00000000-0004-0000-0400-000002000000}"/>
    <hyperlink ref="A5" r:id="rId4" location="audio-description-or-media-alternative-prerecorded" xr:uid="{00000000-0004-0000-0400-000003000000}"/>
    <hyperlink ref="A6" r:id="rId5" location="captions-live" xr:uid="{00000000-0004-0000-0400-000004000000}"/>
    <hyperlink ref="A7" r:id="rId6" location="audio-description-prerecorded" xr:uid="{00000000-0004-0000-0400-000005000000}"/>
    <hyperlink ref="A8" r:id="rId7" location="info-and-relationships" xr:uid="{00000000-0004-0000-0400-000006000000}"/>
    <hyperlink ref="A9" r:id="rId8" location="meaningful-sequence" xr:uid="{00000000-0004-0000-0400-000007000000}"/>
    <hyperlink ref="A10" r:id="rId9" location="sensory-characteristics" xr:uid="{00000000-0004-0000-0400-000008000000}"/>
    <hyperlink ref="A11" r:id="rId10" location="orientation" xr:uid="{00000000-0004-0000-0400-000009000000}"/>
    <hyperlink ref="A12" r:id="rId11" location="identify-input-purpose" xr:uid="{00000000-0004-0000-0400-00000A000000}"/>
    <hyperlink ref="A13" r:id="rId12" location="use-of-color" xr:uid="{00000000-0004-0000-0400-00000B000000}"/>
    <hyperlink ref="A18" r:id="rId13" location="audio-control" xr:uid="{00000000-0004-0000-0400-00000C000000}"/>
    <hyperlink ref="A19" r:id="rId14" location="contrast-minimum" xr:uid="{00000000-0004-0000-0400-00000D000000}"/>
    <hyperlink ref="A20" r:id="rId15" location="resize-text" xr:uid="{00000000-0004-0000-0400-00000E000000}"/>
    <hyperlink ref="A21" r:id="rId16" location="images-of-text" xr:uid="{00000000-0004-0000-0400-00000F000000}"/>
    <hyperlink ref="A14" r:id="rId17" location="reflow" xr:uid="{00000000-0004-0000-0400-000010000000}"/>
    <hyperlink ref="A15" r:id="rId18" location="non-text-contrast" xr:uid="{00000000-0004-0000-0400-000011000000}"/>
    <hyperlink ref="A16" r:id="rId19" location="text-spacing" xr:uid="{00000000-0004-0000-0400-000012000000}"/>
    <hyperlink ref="A17" r:id="rId20" location="content-on-hover-or-focus" xr:uid="{00000000-0004-0000-0400-000013000000}"/>
    <hyperlink ref="A22" r:id="rId21" location="keyboard" xr:uid="{00000000-0004-0000-0400-000014000000}"/>
    <hyperlink ref="A23" r:id="rId22" location="no-keyboard-trap" xr:uid="{00000000-0004-0000-0400-000015000000}"/>
    <hyperlink ref="A24" r:id="rId23" location="character-key-shortcuts" xr:uid="{00000000-0004-0000-0400-000016000000}"/>
    <hyperlink ref="A25" r:id="rId24" location="timing-adjustable" xr:uid="{00000000-0004-0000-0400-000017000000}"/>
    <hyperlink ref="A26" r:id="rId25" location="pause-stop-hide" xr:uid="{00000000-0004-0000-0400-000018000000}"/>
    <hyperlink ref="A27" r:id="rId26" location="three-flashes-or-below-threshold" xr:uid="{00000000-0004-0000-0400-000019000000}"/>
    <hyperlink ref="A28" r:id="rId27" location="bypass-blocks" xr:uid="{00000000-0004-0000-0400-00001A000000}"/>
    <hyperlink ref="A30" r:id="rId28" location="page-titled" xr:uid="{00000000-0004-0000-0400-00001B000000}"/>
    <hyperlink ref="A31" r:id="rId29" location="focus-order" xr:uid="{00000000-0004-0000-0400-00001C000000}"/>
    <hyperlink ref="A32" r:id="rId30" location="link-purpose-in-context" xr:uid="{00000000-0004-0000-0400-00001D000000}"/>
    <hyperlink ref="A33" r:id="rId31" location="multiple-ways" xr:uid="{00000000-0004-0000-0400-00001E000000}"/>
    <hyperlink ref="A34" r:id="rId32" location="headings-and-labels" xr:uid="{00000000-0004-0000-0400-00001F000000}"/>
    <hyperlink ref="A35" r:id="rId33" location="focus-visible" xr:uid="{00000000-0004-0000-0400-000020000000}"/>
    <hyperlink ref="A29" r:id="rId34" location="focus-not-obscured-minimum" xr:uid="{00000000-0004-0000-0400-000021000000}"/>
    <hyperlink ref="A36" r:id="rId35" location="pointer-gestures" xr:uid="{00000000-0004-0000-0400-000022000000}"/>
    <hyperlink ref="A37" r:id="rId36" location="pointer-cancellation" xr:uid="{00000000-0004-0000-0400-000023000000}"/>
    <hyperlink ref="A38" r:id="rId37" location="label-in-name" xr:uid="{00000000-0004-0000-0400-000024000000}"/>
    <hyperlink ref="A39" r:id="rId38" location="motion-actuation" xr:uid="{00000000-0004-0000-0400-000025000000}"/>
    <hyperlink ref="A40" r:id="rId39" location="dragging-movements" xr:uid="{00000000-0004-0000-0400-000026000000}"/>
    <hyperlink ref="A41" r:id="rId40" location="target-size-minimum" xr:uid="{00000000-0004-0000-0400-000027000000}"/>
    <hyperlink ref="A42" r:id="rId41" location="language-of-page" xr:uid="{00000000-0004-0000-0400-000028000000}"/>
    <hyperlink ref="A43" r:id="rId42" location="language-of-parts" xr:uid="{00000000-0004-0000-0400-000029000000}"/>
    <hyperlink ref="A44" r:id="rId43" location="on-focus" xr:uid="{00000000-0004-0000-0400-00002A000000}"/>
    <hyperlink ref="A45" r:id="rId44" location="on-input" xr:uid="{00000000-0004-0000-0400-00002B000000}"/>
    <hyperlink ref="A46" r:id="rId45" location="consistent-navigation" xr:uid="{00000000-0004-0000-0400-00002C000000}"/>
    <hyperlink ref="A47" r:id="rId46" location="consistent-identification" xr:uid="{00000000-0004-0000-0400-00002D000000}"/>
    <hyperlink ref="A48" r:id="rId47" location="consistent-help" xr:uid="{00000000-0004-0000-0400-00002E000000}"/>
    <hyperlink ref="A49" r:id="rId48" location="error-identification" xr:uid="{00000000-0004-0000-0400-00002F000000}"/>
    <hyperlink ref="A50" r:id="rId49" location="labels-or-instructions" xr:uid="{00000000-0004-0000-0400-000030000000}"/>
    <hyperlink ref="A51" r:id="rId50" location="error-suggestion" xr:uid="{00000000-0004-0000-0400-000031000000}"/>
    <hyperlink ref="A52" r:id="rId51" location="error-prevention-legal-financial-data" xr:uid="{00000000-0004-0000-0400-000032000000}"/>
    <hyperlink ref="A53" r:id="rId52" location="redundant-entry" xr:uid="{00000000-0004-0000-0400-000033000000}"/>
    <hyperlink ref="A54" r:id="rId53" location="accessible-authentication-minimum" xr:uid="{00000000-0004-0000-0400-000034000000}"/>
    <hyperlink ref="A52:XFD52" r:id="rId54" location="name-role-value" display="4.1.2 Name, Role, Value (A)" xr:uid="{00000000-0004-0000-0400-000035000000}"/>
    <hyperlink ref="A56" r:id="rId55" location="status-messages" xr:uid="{00000000-0004-0000-0400-000036000000}"/>
  </hyperlinks>
  <pageMargins left="0.7" right="0.7" top="0.75" bottom="0.75" header="0.3" footer="0.3"/>
  <tableParts count="1">
    <tablePart r:id="rId5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136b370-9b09-4dfc-9b03-08bd01f60bbc">
      <Terms xmlns="http://schemas.microsoft.com/office/infopath/2007/PartnerControls"/>
    </lcf76f155ced4ddcb4097134ff3c332f>
    <TaxCatchAll xmlns="a012520c-71f8-4b72-ada1-3c6aba3b7b8c" xsi:nil="true"/>
    <SharedWithUsers xmlns="a012520c-71f8-4b72-ada1-3c6aba3b7b8c">
      <UserInfo>
        <DisplayName>Vennila Duraisamy</DisplayName>
        <AccountId>545</AccountId>
        <AccountType/>
      </UserInfo>
      <UserInfo>
        <DisplayName>Hannah Chipman</DisplayName>
        <AccountId>418</AccountId>
        <AccountType/>
      </UserInfo>
      <UserInfo>
        <DisplayName>Igor Shcherbinin</DisplayName>
        <AccountId>349</AccountId>
        <AccountType/>
      </UserInfo>
      <UserInfo>
        <DisplayName>Scott Boren</DisplayName>
        <AccountId>539</AccountId>
        <AccountType/>
      </UserInfo>
      <UserInfo>
        <DisplayName>Kristen Riquino</DisplayName>
        <AccountId>461</AccountId>
        <AccountType/>
      </UserInfo>
      <UserInfo>
        <DisplayName>Sangeetha Vinod</DisplayName>
        <AccountId>525</AccountId>
        <AccountType/>
      </UserInfo>
    </SharedWithUsers>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687500F3657D74CBF050189AB045EBB" ma:contentTypeVersion="18" ma:contentTypeDescription="Create a new document." ma:contentTypeScope="" ma:versionID="7426d220f69b615140e7498b8476b412">
  <xsd:schema xmlns:xsd="http://www.w3.org/2001/XMLSchema" xmlns:xs="http://www.w3.org/2001/XMLSchema" xmlns:p="http://schemas.microsoft.com/office/2006/metadata/properties" xmlns:ns2="6136b370-9b09-4dfc-9b03-08bd01f60bbc" xmlns:ns3="a012520c-71f8-4b72-ada1-3c6aba3b7b8c" targetNamespace="http://schemas.microsoft.com/office/2006/metadata/properties" ma:root="true" ma:fieldsID="bdc5e56295a65ad51db03f49f0933321" ns2:_="" ns3:_="">
    <xsd:import namespace="6136b370-9b09-4dfc-9b03-08bd01f60bbc"/>
    <xsd:import namespace="a012520c-71f8-4b72-ada1-3c6aba3b7b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6b370-9b09-4dfc-9b03-08bd01f60bb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2520c-71f8-4b72-ada1-3c6aba3b7b8c"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a8779c9a-ea62-449c-a586-3b8813e78c07}" ma:internalName="TaxCatchAll" ma:showField="CatchAllData" ma:web="a012520c-71f8-4b72-ada1-3c6aba3b7b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EFBCBB-9C9D-4F6B-8D5A-EDC7AF7105C7}">
  <ds:schemaRefs>
    <ds:schemaRef ds:uri="http://schemas.microsoft.com/office/2006/metadata/properties"/>
    <ds:schemaRef ds:uri="http://schemas.microsoft.com/office/infopath/2007/PartnerControls"/>
    <ds:schemaRef ds:uri="6136b370-9b09-4dfc-9b03-08bd01f60bbc"/>
    <ds:schemaRef ds:uri="a012520c-71f8-4b72-ada1-3c6aba3b7b8c"/>
  </ds:schemaRefs>
</ds:datastoreItem>
</file>

<file path=customXml/itemProps2.xml><?xml version="1.0" encoding="utf-8"?>
<ds:datastoreItem xmlns:ds="http://schemas.openxmlformats.org/officeDocument/2006/customXml" ds:itemID="{2EC37A89-75A8-40EB-B94D-EC17E5597BEF}">
  <ds:schemaRefs>
    <ds:schemaRef ds:uri="http://schemas.microsoft.com/DataMashup"/>
  </ds:schemaRefs>
</ds:datastoreItem>
</file>

<file path=customXml/itemProps3.xml><?xml version="1.0" encoding="utf-8"?>
<ds:datastoreItem xmlns:ds="http://schemas.openxmlformats.org/officeDocument/2006/customXml" ds:itemID="{B102B2AB-A0AC-4DEE-9D4F-A911258BB20C}">
  <ds:schemaRefs>
    <ds:schemaRef ds:uri="http://schemas.microsoft.com/sharepoint/v3/contenttype/forms"/>
  </ds:schemaRefs>
</ds:datastoreItem>
</file>

<file path=customXml/itemProps4.xml><?xml version="1.0" encoding="utf-8"?>
<ds:datastoreItem xmlns:ds="http://schemas.openxmlformats.org/officeDocument/2006/customXml" ds:itemID="{108C30B0-672C-4EC8-BF69-80DA4F78B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6b370-9b09-4dfc-9b03-08bd01f60bbc"/>
    <ds:schemaRef ds:uri="a012520c-71f8-4b72-ada1-3c6aba3b7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Jangam Mamilla</dc:creator>
  <cp:keywords>full; lreval</cp:keywords>
  <cp:lastModifiedBy>Aakanksha Saini</cp:lastModifiedBy>
  <cp:revision/>
  <dcterms:created xsi:type="dcterms:W3CDTF">2020-01-24T16:17:30Z</dcterms:created>
  <dcterms:modified xsi:type="dcterms:W3CDTF">2024-09-21T11:06:04Z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0x0101002687500F3657D74CBF050189AB045EBB</vt:lpwstr>
  </property>
  <property fmtid="{D5CDD505-2E9C-101B-9397-08002B2CF9AE}" pid="3" name="MediaServiceImageTags">
    <vt:lpwstr/>
  </property>
</Properties>
</file>