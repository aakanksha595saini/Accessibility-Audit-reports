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F:\Projects\Accessibility\19-Sep- 2024\IBM\R384 What is Containerization\"/>
    </mc:Choice>
  </mc:AlternateContent>
  <xr:revisionPtr revIDLastSave="0" documentId="13_ncr:1_{83231A95-D824-4028-9F3C-BC444C1AF59C}" xr6:coauthVersionLast="47" xr6:coauthVersionMax="47" xr10:uidLastSave="{00000000-0000-0000-0000-000000000000}"/>
  <bookViews>
    <workbookView xWindow="-120" yWindow="-120" windowWidth="29040" windowHeight="15720" tabRatio="771" activeTab="1" xr2:uid="{00000000-000D-0000-FFFF-FFFF00000000}"/>
  </bookViews>
  <sheets>
    <sheet name="Evaluation Summary" sheetId="11" r:id="rId1"/>
    <sheet name="Issue List" sheetId="6" r:id="rId2"/>
    <sheet name="Examples" sheetId="12" r:id="rId3"/>
    <sheet name="Evaluation Environment" sheetId="13" r:id="rId4"/>
    <sheet name="WCAG 2.2 A-AA"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1" l="1"/>
  <c r="B13" i="11"/>
  <c r="B15" i="11"/>
  <c r="B1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aster_Issue_Tracker" description="Connection to the 'Master_Issue_Tracker' query in the workbook." type="5" refreshedVersion="0" background="1" saveData="1">
    <dbPr connection="Provider=Microsoft.Mashup.OleDb.1;Data Source=$Workbook$;Location=Master_Issue_Tracker;Extended Properties=&quot;&quot;" command="SELECT * FROM [Master_Issue_Tracker]"/>
  </connection>
</connections>
</file>

<file path=xl/sharedStrings.xml><?xml version="1.0" encoding="utf-8"?>
<sst xmlns="http://schemas.openxmlformats.org/spreadsheetml/2006/main" count="265" uniqueCount="221">
  <si>
    <t>Western Governors University</t>
  </si>
  <si>
    <t>Vendor Name:</t>
  </si>
  <si>
    <t>Product Name:</t>
  </si>
  <si>
    <t>URL:</t>
  </si>
  <si>
    <t>Evaluation Date:</t>
  </si>
  <si>
    <t>Evaluation Status:</t>
  </si>
  <si>
    <t>Executive Summary:</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</si>
  <si>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</si>
  <si>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</si>
  <si>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</si>
  <si>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</si>
  <si>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</si>
  <si>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</si>
  <si>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</si>
  <si>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</si>
  <si>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</si>
  <si>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</si>
  <si>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</si>
  <si>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</si>
  <si>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</si>
  <si>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</si>
  <si>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</si>
  <si>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</si>
  <si>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</si>
  <si>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</si>
  <si>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</si>
  <si>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</si>
  <si>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</si>
  <si>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</si>
  <si>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</si>
  <si>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Microsoft Edge</t>
  </si>
  <si>
    <t>NonVisual Desktop Access (NVDA)</t>
  </si>
  <si>
    <t>Job Access With Speech (JAWS)</t>
  </si>
  <si>
    <t>PDF Accessibility Checker (PAC) 2024</t>
  </si>
  <si>
    <t>24.0.0.1</t>
  </si>
  <si>
    <t>Colour Contrast Analyser (CCA)</t>
  </si>
  <si>
    <t>3.4.2</t>
  </si>
  <si>
    <t>Adobe Digital Editions (ADE)</t>
  </si>
  <si>
    <t>4.5.12.112</t>
  </si>
  <si>
    <t>WAVE Evaluation Tool (WAVE)</t>
  </si>
  <si>
    <t>Accessibility Insights for Web</t>
  </si>
  <si>
    <t>2.41.0</t>
  </si>
  <si>
    <t>IBM Equal Access Accessibility Checker</t>
  </si>
  <si>
    <t>axe DevTools</t>
  </si>
  <si>
    <t>Lighthouse</t>
  </si>
  <si>
    <t>Adobe Acrobat Pro</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</si>
  <si>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</si>
  <si>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</si>
  <si>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</si>
  <si>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</si>
  <si>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</si>
  <si>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</si>
  <si>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</si>
  <si>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</si>
  <si>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</si>
  <si>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</si>
  <si>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</si>
  <si>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</si>
  <si>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</si>
  <si>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</si>
  <si>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</si>
  <si>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</si>
  <si>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</si>
  <si>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</si>
  <si>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</si>
  <si>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</si>
  <si>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</si>
  <si>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</si>
  <si>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</si>
  <si>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</si>
  <si>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</si>
  <si>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</si>
  <si>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</si>
  <si>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</si>
  <si>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</si>
  <si>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</si>
  <si>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</si>
  <si>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</si>
  <si>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</si>
  <si>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</si>
  <si>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</si>
  <si>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</si>
  <si>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</si>
  <si>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</si>
  <si>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</si>
  <si>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</si>
  <si>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</si>
  <si>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</si>
  <si>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</si>
  <si>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</si>
  <si>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</si>
  <si>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</si>
  <si>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</si>
  <si>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</si>
  <si>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</si>
  <si>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</si>
  <si>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</si>
  <si>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</si>
  <si>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</si>
  <si>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</si>
  <si>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</si>
  <si>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</si>
  <si>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ANDI</t>
  </si>
  <si>
    <t>29.1.1</t>
  </si>
  <si>
    <t>124.0.1</t>
  </si>
  <si>
    <t>123.0.2420.65</t>
  </si>
  <si>
    <t>3.2.5.3</t>
  </si>
  <si>
    <t>2023.2402.1</t>
  </si>
  <si>
    <t>3.1.68</t>
  </si>
  <si>
    <t>4.8.4</t>
  </si>
  <si>
    <t>11.5.0</t>
  </si>
  <si>
    <t>2024.001.20629</t>
  </si>
  <si>
    <t>Learning Resource (LR) - Accessibility Evaluation Report</t>
  </si>
  <si>
    <t>LR Format:</t>
  </si>
  <si>
    <t>Minor</t>
  </si>
  <si>
    <t>Single</t>
  </si>
  <si>
    <t>Critical</t>
  </si>
  <si>
    <t>User may enable to view or interact with all the menu items leading to incomplete access of the profile options and a diminished user experience.</t>
  </si>
  <si>
    <t xml:space="preserve">Adjust the manual display to ensure all the content is fully visible without cropping when my profile icon is clicked </t>
  </si>
  <si>
    <t>Color alone is used solely to represent links</t>
  </si>
  <si>
    <t>The Links should have color contrast of atleast 3:1 with its surrounding text and it should be underlines on hover</t>
  </si>
  <si>
    <t>Students may face issue while accessing the links</t>
  </si>
  <si>
    <t>Links should be underlined and should maintain 3:1 with its foreground text</t>
  </si>
  <si>
    <t>Global</t>
  </si>
  <si>
    <t>Keyboard tab navigation</t>
  </si>
  <si>
    <t xml:space="preserve">Screen reader </t>
  </si>
  <si>
    <t>Partial</t>
  </si>
  <si>
    <t>Raj Singh</t>
  </si>
  <si>
    <t>123.0.6312.86</t>
  </si>
  <si>
    <t>2023.3.4.31265</t>
  </si>
  <si>
    <t>Minor Remediation</t>
  </si>
  <si>
    <t>23H2</t>
  </si>
  <si>
    <t>Manual inspection and reflow (320*256)</t>
  </si>
  <si>
    <t>List markup is missing or inaccurate</t>
  </si>
  <si>
    <t>Lists should be properly marked up with &lt;ul&gt;, &lt;ol&gt;, and &lt;li&gt; elements.    Controls should be organized in a list for better screen reader navigation.</t>
  </si>
  <si>
    <t>Screen readers may not properly announce navigation items, causing confusion.</t>
  </si>
  <si>
    <t>Apply correct semantic HTML for lists to ensure proper screen reader behavior.</t>
  </si>
  <si>
    <t>State' information is not announced by screen reader</t>
  </si>
  <si>
    <t>Significant</t>
  </si>
  <si>
    <t>Screen reader users may not understand the current state of the control.</t>
  </si>
  <si>
    <t>Update ARIA attributes to correctly reflect the expanded/collapsed state.</t>
  </si>
  <si>
    <t>Screen Reader</t>
  </si>
  <si>
    <t>English AD button  is missing</t>
  </si>
  <si>
    <t>"Audio Description" button is missing for videos.</t>
  </si>
  <si>
    <t>AD button for the videos should be present to provide the  prerecorded video content in synchronized media.</t>
  </si>
  <si>
    <t>People who cannot see or understand the visual content can hear about it while playing videos.</t>
  </si>
  <si>
    <t>Provide a synchronized spoken description of the visual content in videos.</t>
  </si>
  <si>
    <t>Manual inspection</t>
  </si>
  <si>
    <t>&gt;&gt;Video media player</t>
  </si>
  <si>
    <t>19/sept./2024</t>
  </si>
  <si>
    <t xml:space="preserve">In small viewport, all content within the header_main_slider should remain visible and accessible
</t>
  </si>
  <si>
    <t>Users may face the issue while accessing the content of the website in the small screen.</t>
  </si>
  <si>
    <t>Adjust the content according to the every possible viewports .</t>
  </si>
  <si>
    <t>Inappropriate button name is provide to close button</t>
  </si>
  <si>
    <t>While navigating through Footer section&gt;&gt; Combo box (Language picker)&gt;&gt; Close button The screen reader announces the close button only as "button,"</t>
  </si>
  <si>
    <t>The screen reader should announce the close button with a clear and descriptive label, such as "Close button" or "Close," so that users understand its function immediately.</t>
  </si>
  <si>
    <t>Descriptive labels prevent confusion and frustration by making it clear what each button does</t>
  </si>
  <si>
    <t>provide a clear and descriptive name to close button.</t>
  </si>
  <si>
    <t>In the footer section&gt;&gt; Language picker&gt;&gt; Close button</t>
  </si>
  <si>
    <t>Keyboard tab navigation fails to move to the suggestions list when the search button is activated.</t>
  </si>
  <si>
    <t>When the search button is activated, keyboard tab navigation does not move to the suggestions list, preventing users from accessing suggested options using the keyboard.</t>
  </si>
  <si>
    <t>After activating the search button, users should be able to navigate to the suggestions list using keyboard tab navigation.</t>
  </si>
  <si>
    <t xml:space="preserve"> This issue hinders accessibility for users who rely on keyboard navigation, making it difficult for them to interact with search suggestions and leading to a frustrating experience.</t>
  </si>
  <si>
    <t xml:space="preserve"> Fix the keyboard navigation logic to ensure that tabbing moves focus to the suggestions list after the search button is activated. Conduct thorough testing to confirm that the navigation works seamlessly across all devices and browsers.</t>
  </si>
  <si>
    <t>&gt;&gt;Search button
&gt;&gt;Video features&gt;Quality settings</t>
  </si>
  <si>
    <t>Focus indicator is not visible due to color blending.</t>
  </si>
  <si>
    <t xml:space="preserve">Skip to the main content is not navigating to the main content </t>
  </si>
  <si>
    <t>"Skip to content" link should  allow users to bypass repetitive content and jump directly to the main content of a page.</t>
  </si>
  <si>
    <t>Students with disabilities may face frustration and barriers to accessing important information.</t>
  </si>
  <si>
    <t>All the interactive element on the page should be operable.</t>
  </si>
  <si>
    <t>keyboard tab navigation</t>
  </si>
  <si>
    <t>In the header section&gt;&gt; Skip to content</t>
  </si>
  <si>
    <t>Screen reader misinterperates the Search edit filed</t>
  </si>
  <si>
    <t>&gt;&gt;Header tab::Blog Videos,reports,Events,More,
&gt;&gt;My profile button</t>
  </si>
  <si>
    <t>What is Containerization?</t>
  </si>
  <si>
    <t>IBM</t>
  </si>
  <si>
    <t>https://www.ibm.com/topics/containerization</t>
  </si>
  <si>
    <r>
      <t>List mark up is missing for the left navigation.
Naviagte to theHome tab tab&gt;&gt; Check its code that the list mark up are missing for &lt;&lt;</t>
    </r>
    <r>
      <rPr>
        <b/>
        <sz val="12"/>
        <color theme="1"/>
        <rFont val="Arial"/>
        <family val="2"/>
      </rPr>
      <t>Think, .</t>
    </r>
  </si>
  <si>
    <t>Content is partially visible or cut off on reflow (320*256)</t>
  </si>
  <si>
    <t>Content appears partially visible or cut off when the webpage is viewed at a resolution of 320x256 pixels, disrupting the layout.</t>
  </si>
  <si>
    <t>The webpage should reflow properly, ensuring that all content is fully visible and accessible at smaller resolutions.</t>
  </si>
  <si>
    <t>Search button is overlapping by default and reflow</t>
  </si>
  <si>
    <t>maual inspection and reflow 320*256 dim</t>
  </si>
  <si>
    <t>Screen reader does not announce expanded state information on the My profile' dropdown control on activating it.
&gt;&gt;&gt;&gt;Header tab::Blog Videos,reports,Events,More,
&gt;&gt;My profile button</t>
  </si>
  <si>
    <t>focus indicator is not visible because it blends into the background color, making it difficult for users to identify which element is currently focused.</t>
  </si>
  <si>
    <t xml:space="preserve"> focus indicator should be clearly visible, contrasting with the background to ensure users can easily see the active element.</t>
  </si>
  <si>
    <t>This lack of visibility can hinder navigation for users who rely on keyboard controls, negatively affecting their ability to interact with the interface effectively.</t>
  </si>
  <si>
    <t>Adjust the design of the focus indicator to ensure it has sufficient contrast with the background. Consider using border styles, changes in color, or shadows to enhance visibility. Test the focus indicator across various devices and themes to confirm accessibility.</t>
  </si>
  <si>
    <t>&gt;&gt;Subscribe button,
&gt;&gt;Explore Red Hat OpenShift on IBM Cloud
Sign up for cloud updates  Buttons…</t>
  </si>
  <si>
    <t>screen reader should accurately announce the search edit field with a clear and descriptive label, allowing users to understand its purpose.</t>
  </si>
  <si>
    <t>This misinterpretation can create confusion for users relying on screen readers, making it difficult for them to identify the function of the search field and navigate the content effectively.</t>
  </si>
  <si>
    <t>Ensure that the search edit field is properly labeled using the aria-label or aria-labelledby attributes to provide a clear description. Review the HTML markup and test with various screen readers to confirm accurate and meaningful announcements.</t>
  </si>
  <si>
    <t>Link Purpose is unclear or insufficient</t>
  </si>
  <si>
    <t>Keyboard is trapped in the "Select Geographical Area" button.</t>
  </si>
  <si>
    <t>Keyboard focus is trapped on the "Select Geographical Area" button, preventing users from navigating away using keyboard controls.</t>
  </si>
  <si>
    <t>Users should be able to navigate freely to other interactive elements on the page after interacting with the button.</t>
  </si>
  <si>
    <t>This issue limits accessibility for users who rely on keyboard navigation, creating frustration and hindering their ability to use the site effectively.</t>
  </si>
  <si>
    <t>Review the focus management for the "Select Geographical Area" button to ensure that users can tab away from it after activation. Implement appropriate event handlers to manage focus and test the navigation flow to confirm that it works seamlessly across the interface.</t>
  </si>
  <si>
    <t>Links labeled as "Learn More" do not provide sufficient context about what content or topic will be covered, leading to ambiguity.
&gt;&gt;such as link "Read the ebook,Learn more…"</t>
  </si>
  <si>
    <t>Links should have descriptive text that clearly indicates the specific content or information users will access, such as "Learn more about our course offerings."</t>
  </si>
  <si>
    <t>Unclear link labels can cause confusion and frustration for users, making it difficult to navigate the site effectively and find relevant information.</t>
  </si>
  <si>
    <t>Revise link text to be more descriptive and context-specific, ensuring users understand what to expect when clicking. For instance, change "Learn More" to "Learn more about our course offerings.</t>
  </si>
  <si>
    <t xml:space="preserve">&gt;&gt;Read the ebook
&gt;&gt;Learn more
&gt;&gt;Related solutions 
</t>
  </si>
  <si>
    <t>Webpage</t>
  </si>
  <si>
    <t>&gt;&gt;"Select Geographical Area"::Asia,Asia Pacific,Europe…</t>
  </si>
  <si>
    <t>Screen reader should announce expanded" or "collapsed" based on the state.</t>
  </si>
  <si>
    <t>Whole webpage content</t>
  </si>
  <si>
    <t>Navigate to the Inspect section of the website and change the viewport size to 320*256 dimensions, Observe that the "search" button overlaps with the "Header tabs</t>
  </si>
  <si>
    <t>&gt;&gt;Search bar</t>
  </si>
  <si>
    <t>Color is solely used to determine the links in footer without providing an underline on hovering.
Link such as " cloud computing "</t>
  </si>
  <si>
    <t>Links throughout the webpage</t>
  </si>
  <si>
    <t xml:space="preserve">Skip to the main content is not navigating to the main content 
</t>
  </si>
  <si>
    <t xml:space="preserve">&gt;&gt;Header tab :::Think,Artificial intelligence,Cloud,Security,Sustainability,Blog,Videos,Reports,Events,More.
&gt;&gt;Related solution
</t>
  </si>
  <si>
    <t>&gt;&gt;Search edit Area: Screen reader is annoncing it as "Search landmark" instead of edit search of all IBM…..
 screen reader announces the search edit field as "Search landmark," rather than providing the appropriate description, such as "Edit search of all IBM."</t>
  </si>
  <si>
    <t xml:space="preserve"> Screen reader announces all content at once when navigating expanded items with arrow keys.</t>
  </si>
  <si>
    <t xml:space="preserve"> Screen reader announces all content at once when navigating expanded items with arrow keys.
When using arrow keys to navigate through expanded items, the screen reader announces all content at once, overwhelming users with information.</t>
  </si>
  <si>
    <t xml:space="preserve"> screen reader should announce one item at a time as users navigate through the expanded items, allowing for clearer and more manageable information consumption.</t>
  </si>
  <si>
    <t>This can create confusion and frustration for users relying on screen readers, making it difficult to process information and navigate effectively.</t>
  </si>
  <si>
    <t xml:space="preserve"> Implement proper focus management and ARIA live regions to ensure that the screen reader announces content incrementally as users navigate with arrow keys.</t>
  </si>
  <si>
    <t>&gt;&gt;Header tabs::Products,Solutions,Support
&gt;&gt;Header tabs::Blog
Videos
Reports
Events
More
Subscribe</t>
  </si>
  <si>
    <t>&gt;&gt;Search edit field
&gt;&gt;Header tabs::Products,Solutions,Support
&gt;&gt;Header tabs::Blog
Videos
Reports
Events
More
Subscribe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</si>
</sst>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b/>
      <sz val="20"/>
      <color rgb="FF003057"/>
      <name val="Arial"/>
      <family val="2"/>
    </font>
    <font>
      <b/>
      <sz val="14"/>
      <color rgb="FF63666A"/>
      <name val="Arial"/>
      <family val="2"/>
    </font>
    <font>
      <u/>
      <sz val="12"/>
      <color theme="10"/>
      <name val="Arial"/>
      <family val="2"/>
    </font>
    <font>
      <b/>
      <sz val="14"/>
      <color rgb="FF003057"/>
      <name val="Arial"/>
      <family val="2"/>
    </font>
    <font>
      <sz val="12"/>
      <color theme="1"/>
      <name val="Arial"/>
      <family val="2"/>
    </font>
    <font>
      <b/>
      <sz val="20"/>
      <color rgb="FF003057"/>
      <name val="Arial"/>
      <family val="2"/>
    </font>
    <font>
      <b/>
      <sz val="14"/>
      <color rgb="FF63666A"/>
      <name val="Arial"/>
      <family val="2"/>
    </font>
    <font>
      <b/>
      <sz val="12"/>
      <color theme="1"/>
      <name val="Arial"/>
      <family val="2"/>
    </font>
    <font>
      <u/>
      <sz val="11"/>
      <color theme="10"/>
      <name val="Calibri"/>
      <family val="2"/>
      <scheme val="minor"/>
    </font>
    <font>
      <strike/>
      <sz val="12"/>
      <color theme="1"/>
      <name val="Arial"/>
      <family val="2"/>
    </font>
    <font>
      <sz val="12"/>
      <color theme="1"/>
      <name val="Aptos Narrow"/>
      <family val="2"/>
    </font>
    <font>
      <sz val="14"/>
      <color theme="1"/>
      <name val="Aptos Narrow"/>
      <family val="2"/>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bgColor theme="4" tint="0.79998168889431442"/>
      </patternFill>
    </fill>
  </fills>
  <borders count="10">
    <border>
      <left/>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5" fillId="0" borderId="0" applyNumberFormat="0" applyFill="0" applyBorder="0" applyAlignment="0" applyProtection="0"/>
  </cellStyleXfs>
  <cellXfs count="73">
    <xf numFmtId="0" fontId="0" fillId="0" borderId="0" xfId="0"/>
    <xf numFmtId="0" fontId="4" fillId="0" borderId="0" xfId="0" applyFont="1" applyAlignment="1">
      <alignment horizontal="left" vertical="center"/>
    </xf>
    <xf numFmtId="0" fontId="9" fillId="0" borderId="0" xfId="2" quotePrefix="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2"/>
    <xf numFmtId="0" fontId="3" fillId="0" borderId="0" xfId="0" applyFont="1"/>
    <xf numFmtId="0" fontId="2" fillId="0" borderId="0" xfId="0" applyFont="1" applyAlignment="1">
      <alignment horizontal="left" vertical="center"/>
    </xf>
    <xf numFmtId="0" fontId="2" fillId="0" borderId="0" xfId="0" applyFont="1"/>
    <xf numFmtId="0" fontId="11" fillId="0" borderId="0" xfId="0" applyFont="1" applyAlignment="1">
      <alignment horizontal="left" vertical="center"/>
    </xf>
    <xf numFmtId="0" fontId="14" fillId="0" borderId="0" xfId="0" applyFont="1" applyAlignment="1">
      <alignment horizontal="left" vertical="center"/>
    </xf>
    <xf numFmtId="0" fontId="14" fillId="0" borderId="2" xfId="0" applyFont="1" applyBorder="1" applyAlignment="1">
      <alignment vertical="center" wrapText="1"/>
    </xf>
    <xf numFmtId="0" fontId="14" fillId="0" borderId="3" xfId="0" applyFont="1" applyBorder="1" applyAlignment="1">
      <alignment vertical="center" wrapText="1"/>
    </xf>
    <xf numFmtId="0" fontId="11" fillId="0" borderId="5" xfId="0" applyFont="1" applyBorder="1" applyAlignment="1">
      <alignment horizontal="center" vertical="center" wrapText="1"/>
    </xf>
    <xf numFmtId="0" fontId="14" fillId="0" borderId="3" xfId="0" applyFont="1" applyBorder="1" applyAlignment="1">
      <alignment vertical="center"/>
    </xf>
    <xf numFmtId="0" fontId="11" fillId="0" borderId="5" xfId="0" applyFont="1" applyBorder="1" applyAlignment="1">
      <alignment horizontal="center" vertical="center"/>
    </xf>
    <xf numFmtId="0" fontId="11" fillId="0" borderId="5" xfId="0" applyFont="1" applyBorder="1" applyAlignment="1">
      <alignment horizontal="left" vertical="center" wrapText="1"/>
    </xf>
    <xf numFmtId="0" fontId="14" fillId="0" borderId="6" xfId="0" applyFont="1" applyBorder="1" applyAlignment="1">
      <alignment horizontal="left" vertical="center"/>
    </xf>
    <xf numFmtId="0" fontId="11" fillId="0" borderId="7" xfId="0" applyFont="1" applyBorder="1" applyAlignment="1">
      <alignment horizontal="left" vertical="center" wrapText="1"/>
    </xf>
    <xf numFmtId="0" fontId="2" fillId="0" borderId="0" xfId="0" quotePrefix="1" applyFont="1" applyAlignment="1">
      <alignment vertical="center" wrapText="1"/>
    </xf>
    <xf numFmtId="9" fontId="2" fillId="0" borderId="0" xfId="1" applyFont="1" applyAlignment="1">
      <alignment horizontal="left" vertical="center"/>
    </xf>
    <xf numFmtId="14" fontId="2" fillId="0" borderId="0" xfId="0" quotePrefix="1" applyNumberFormat="1" applyFont="1" applyAlignment="1">
      <alignment vertical="center" wrapText="1"/>
    </xf>
    <xf numFmtId="12" fontId="2" fillId="0" borderId="0" xfId="0" applyNumberFormat="1" applyFont="1" applyAlignment="1">
      <alignment horizontal="lef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center" vertical="center" wrapText="1"/>
    </xf>
    <xf numFmtId="0" fontId="1" fillId="0" borderId="0" xfId="0" applyFont="1" applyAlignment="1">
      <alignment horizontal="left" vertical="top" wrapText="1"/>
    </xf>
    <xf numFmtId="14" fontId="1" fillId="0" borderId="5" xfId="0" applyNumberFormat="1" applyFont="1" applyBorder="1" applyAlignment="1">
      <alignment horizontal="center" vertical="center" wrapText="1"/>
    </xf>
    <xf numFmtId="0" fontId="0" fillId="0" borderId="0" xfId="0" applyAlignment="1">
      <alignment wrapText="1"/>
    </xf>
    <xf numFmtId="0" fontId="1" fillId="0" borderId="5" xfId="0" applyFont="1" applyBorder="1" applyAlignment="1">
      <alignment horizontal="center" vertical="center" wrapText="1"/>
    </xf>
    <xf numFmtId="0" fontId="3" fillId="0" borderId="0" xfId="0" applyFont="1" applyAlignment="1">
      <alignment horizontal="left" vertical="top" wrapText="1"/>
    </xf>
    <xf numFmtId="0" fontId="9" fillId="0" borderId="9" xfId="2" applyBorder="1" applyAlignment="1">
      <alignment wrapText="1"/>
    </xf>
    <xf numFmtId="0" fontId="19" fillId="0" borderId="0" xfId="0" applyFont="1"/>
    <xf numFmtId="0" fontId="5" fillId="0" borderId="8" xfId="0" applyFont="1" applyBorder="1" applyAlignment="1">
      <alignment horizontal="left" vertical="top" wrapText="1"/>
    </xf>
    <xf numFmtId="0" fontId="5" fillId="0" borderId="0" xfId="0" applyFont="1" applyAlignment="1">
      <alignment wrapText="1"/>
    </xf>
    <xf numFmtId="0" fontId="5" fillId="3" borderId="8" xfId="0" applyFont="1" applyFill="1" applyBorder="1" applyAlignment="1">
      <alignment horizontal="left" vertical="top" wrapText="1"/>
    </xf>
    <xf numFmtId="0" fontId="1" fillId="3" borderId="8" xfId="0" applyFont="1" applyFill="1" applyBorder="1" applyAlignment="1">
      <alignment horizontal="left" vertical="top" wrapText="1"/>
    </xf>
    <xf numFmtId="0" fontId="9" fillId="3" borderId="8" xfId="2" applyFill="1" applyBorder="1" applyAlignment="1">
      <alignment horizontal="left" vertical="top" wrapText="1"/>
    </xf>
    <xf numFmtId="0" fontId="16" fillId="3" borderId="8" xfId="0" applyFont="1" applyFill="1" applyBorder="1" applyAlignment="1">
      <alignment vertical="top" wrapText="1"/>
    </xf>
    <xf numFmtId="0" fontId="0" fillId="3" borderId="8" xfId="0" applyFill="1" applyBorder="1" applyAlignment="1">
      <alignment horizontal="left" vertical="top" wrapText="1"/>
    </xf>
    <xf numFmtId="0" fontId="1" fillId="2" borderId="8" xfId="0" applyFont="1" applyFill="1" applyBorder="1" applyAlignment="1">
      <alignment vertical="top" wrapText="1"/>
    </xf>
    <xf numFmtId="0" fontId="5" fillId="2" borderId="8"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4" borderId="8" xfId="0" applyFont="1" applyFill="1" applyBorder="1" applyAlignment="1">
      <alignment horizontal="left" vertical="center" wrapText="1"/>
    </xf>
    <xf numFmtId="0" fontId="0" fillId="2" borderId="8" xfId="0" applyFill="1" applyBorder="1" applyAlignment="1">
      <alignment horizontal="left" vertical="center" wrapText="1"/>
    </xf>
    <xf numFmtId="0" fontId="5" fillId="2" borderId="8" xfId="0" applyFont="1" applyFill="1" applyBorder="1" applyAlignment="1">
      <alignment wrapText="1"/>
    </xf>
    <xf numFmtId="0" fontId="1" fillId="2" borderId="8" xfId="0" applyFont="1" applyFill="1" applyBorder="1" applyAlignment="1">
      <alignment wrapText="1"/>
    </xf>
    <xf numFmtId="0" fontId="0" fillId="2" borderId="8" xfId="0" applyFill="1" applyBorder="1" applyAlignment="1">
      <alignment wrapText="1"/>
    </xf>
    <xf numFmtId="0" fontId="1" fillId="2" borderId="8" xfId="0" applyFont="1" applyFill="1" applyBorder="1" applyAlignment="1">
      <alignment horizontal="left" vertical="top" wrapText="1"/>
    </xf>
    <xf numFmtId="0" fontId="17" fillId="2" borderId="8" xfId="0" applyFont="1" applyFill="1" applyBorder="1" applyAlignment="1">
      <alignment horizontal="left" vertical="top" wrapText="1"/>
    </xf>
    <xf numFmtId="0" fontId="18" fillId="2" borderId="8" xfId="0" applyFont="1" applyFill="1" applyBorder="1" applyAlignment="1">
      <alignment horizontal="left" vertical="top" wrapText="1"/>
    </xf>
    <xf numFmtId="0" fontId="0" fillId="2" borderId="8" xfId="0" applyFill="1" applyBorder="1" applyAlignment="1">
      <alignment horizontal="left" vertical="top" wrapText="1"/>
    </xf>
    <xf numFmtId="0" fontId="5" fillId="2" borderId="8" xfId="0" applyFont="1" applyFill="1" applyBorder="1" applyAlignment="1">
      <alignment vertical="top" wrapText="1"/>
    </xf>
    <xf numFmtId="0" fontId="0" fillId="2" borderId="8" xfId="0" applyFill="1" applyBorder="1" applyAlignment="1">
      <alignment vertical="top" wrapText="1"/>
    </xf>
    <xf numFmtId="0" fontId="5" fillId="3" borderId="8" xfId="0" applyFont="1" applyFill="1" applyBorder="1" applyAlignment="1">
      <alignment wrapText="1"/>
    </xf>
    <xf numFmtId="0" fontId="1" fillId="3" borderId="8" xfId="0" applyFont="1" applyFill="1" applyBorder="1" applyAlignment="1">
      <alignment wrapText="1"/>
    </xf>
    <xf numFmtId="0" fontId="0" fillId="3" borderId="8" xfId="0" applyFill="1" applyBorder="1" applyAlignment="1">
      <alignment wrapText="1"/>
    </xf>
    <xf numFmtId="0" fontId="5" fillId="3" borderId="8" xfId="0" applyFont="1" applyFill="1" applyBorder="1" applyAlignment="1">
      <alignment horizontal="left" vertical="center" wrapText="1"/>
    </xf>
    <xf numFmtId="0" fontId="1" fillId="3" borderId="8" xfId="0" applyFont="1" applyFill="1" applyBorder="1" applyAlignment="1">
      <alignment horizontal="left" vertical="center" wrapText="1"/>
    </xf>
    <xf numFmtId="0" fontId="0" fillId="3" borderId="8" xfId="0" applyFill="1" applyBorder="1" applyAlignment="1">
      <alignment horizontal="left" vertical="center" wrapText="1"/>
    </xf>
    <xf numFmtId="0" fontId="1" fillId="3" borderId="8" xfId="0" quotePrefix="1" applyFont="1" applyFill="1" applyBorder="1" applyAlignment="1">
      <alignment horizontal="left" vertical="center" wrapText="1"/>
    </xf>
    <xf numFmtId="0" fontId="0" fillId="0" borderId="8" xfId="0" applyBorder="1" applyAlignment="1">
      <alignment wrapText="1"/>
    </xf>
    <xf numFmtId="0" fontId="1" fillId="0" borderId="8" xfId="0" applyFont="1" applyBorder="1" applyAlignment="1">
      <alignment horizontal="left" vertical="top" wrapText="1"/>
    </xf>
    <xf numFmtId="0" fontId="1" fillId="0" borderId="8" xfId="0" applyFont="1" applyBorder="1" applyAlignment="1">
      <alignment vertical="top" wrapText="1"/>
    </xf>
    <xf numFmtId="0" fontId="1" fillId="0" borderId="0" xfId="0" applyFont="1" applyAlignment="1">
      <alignment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5" fillId="0" borderId="8" xfId="0" applyFont="1" applyBorder="1" applyAlignment="1">
      <alignment wrapText="1"/>
    </xf>
    <xf numFmtId="0" fontId="1" fillId="0" borderId="8" xfId="0" applyFont="1" applyBorder="1" applyAlignment="1">
      <alignment wrapText="1"/>
    </xf>
  </cellXfs>
  <cellStyles count="4">
    <cellStyle name="Hyperlink" xfId="2" builtinId="8" customBuiltin="1"/>
    <cellStyle name="Hyperlink 2" xfId="3" xr:uid="{00000000-0005-0000-0000-000001000000}"/>
    <cellStyle name="Normal" xfId="0" builtinId="0"/>
    <cellStyle name="Percent" xfId="1" builtinId="5"/>
  </cellStyles>
  <dxfs count="36">
    <dxf>
      <font>
        <b/>
        <i val="0"/>
        <strike val="0"/>
      </font>
      <fill>
        <patternFill>
          <bgColor theme="9" tint="0.59996337778862885"/>
        </patternFill>
      </fill>
      <border>
        <left style="thin">
          <color auto="1"/>
        </left>
        <right style="thin">
          <color auto="1"/>
        </right>
        <top style="thin">
          <color auto="1"/>
        </top>
        <bottom style="thin">
          <color auto="1"/>
        </bottom>
        <vertical/>
        <horizontal/>
      </border>
    </dxf>
    <dxf>
      <font>
        <b/>
        <i val="0"/>
        <color rgb="FF4C3800"/>
      </font>
      <fill>
        <patternFill patternType="solid">
          <bgColor theme="7" tint="0.39991454817346722"/>
        </patternFill>
      </fill>
      <border>
        <left style="dashDot">
          <color auto="1"/>
        </left>
        <right style="dashDot">
          <color auto="1"/>
        </right>
        <top style="dashDot">
          <color auto="1"/>
        </top>
        <bottom style="dashDot">
          <color auto="1"/>
        </bottom>
        <vertical/>
        <horizontal/>
      </border>
    </dxf>
    <dxf>
      <font>
        <b/>
        <i val="0"/>
      </font>
      <fill>
        <patternFill>
          <bgColor rgb="FFFD5555"/>
        </patternFill>
      </fill>
      <border>
        <left style="hair">
          <color auto="1"/>
        </left>
        <right style="hair">
          <color auto="1"/>
        </right>
        <top style="hair">
          <color auto="1"/>
        </top>
        <bottom style="hair">
          <color auto="1"/>
        </bottom>
        <vertical/>
        <horizontal/>
      </border>
    </dxf>
    <dxf>
      <font>
        <b/>
        <i val="0"/>
        <color theme="1"/>
      </font>
      <fill>
        <patternFill>
          <fgColor theme="9" tint="0.39994506668294322"/>
        </patternFill>
      </fill>
    </dxf>
    <dxf>
      <font>
        <color theme="0"/>
      </font>
      <fill>
        <patternFill>
          <bgColor theme="0"/>
        </patternFill>
      </fill>
    </dxf>
    <dxf>
      <font>
        <b/>
        <i val="0"/>
        <color theme="1"/>
      </font>
      <fill>
        <patternFill>
          <bgColor theme="9" tint="0.39994506668294322"/>
        </patternFill>
      </fill>
    </dxf>
    <dxf>
      <font>
        <b/>
        <i val="0"/>
        <color theme="1"/>
      </font>
      <fill>
        <patternFill>
          <bgColor rgb="FFCFC483"/>
        </patternFill>
      </fill>
    </dxf>
    <dxf>
      <font>
        <b/>
        <i val="0"/>
        <color theme="1"/>
      </font>
      <fill>
        <patternFill>
          <bgColor rgb="FFFF412D"/>
        </patternFill>
      </fill>
    </dxf>
    <dxf>
      <font>
        <b/>
        <i val="0"/>
        <color theme="1"/>
      </font>
      <fill>
        <patternFill>
          <bgColor rgb="FFFFFF00"/>
        </patternFill>
      </fill>
    </dxf>
    <dxf>
      <font>
        <b/>
        <i val="0"/>
        <color theme="1"/>
      </font>
      <fill>
        <patternFill>
          <bgColor rgb="FFFFC000"/>
        </patternFill>
      </fill>
    </dxf>
    <dxf>
      <font>
        <b/>
        <i val="0"/>
        <color theme="1"/>
      </font>
      <fill>
        <patternFill>
          <bgColor rgb="FFFFFF00"/>
        </patternFill>
      </fill>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fgColor indexed="64"/>
          <bgColor theme="4"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FC483"/>
      <color rgb="FF71924C"/>
      <color rgb="FF3EA053"/>
      <color rgb="FF003057"/>
      <color rgb="FFFF412D"/>
      <color rgb="FFFD5555"/>
      <color rgb="FF4C3800"/>
      <color rgb="FF636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8D843C-5E61-456E-9347-E6B92CBE3114}" name="Master_Issue_Tracker8" displayName="Master_Issue_Tracker8" ref="A1:L2" totalsRowShown="0" headerRowDxfId="35" dataDxfId="34">
  <autoFilter ref="A1:L2" xr:uid="{C48D843C-5E61-456E-9347-E6B92CBE3114}"/>
  <tableColumns count="12">
    <tableColumn id="1" xr3:uid="{B4ECDCFD-6C3A-41A5-AD4C-E82BD58AB1C0}" name="Issue Name" dataDxfId="33"/>
    <tableColumn id="9" xr3:uid="{5ECA8F85-1392-427A-9660-CD2BC290DF62}" name="WCAG Success Criteria" dataDxfId="32"/>
    <tableColumn id="2" xr3:uid="{3EA942E4-092E-411D-B3F3-DBD99439DA6F}" name="Severity Level" dataDxfId="31"/>
    <tableColumn id="3" xr3:uid="{E2936625-E7EE-4B67-9CBA-3F795E4C29BA}" name="Actual Result" dataDxfId="30"/>
    <tableColumn id="5" xr3:uid="{94D44D73-A3D4-4428-A5EC-C24501763CC8}" name="Expected Result" dataDxfId="29"/>
    <tableColumn id="4" xr3:uid="{2E2E72C5-1C4B-41ED-85EC-C84C3228FC18}" name="Student Impact" dataDxfId="28"/>
    <tableColumn id="6" xr3:uid="{FE77E181-1641-42F2-922F-F8A174B0271F}" name="Recommendation" dataDxfId="27"/>
    <tableColumn id="10" xr3:uid="{27B8B185-0DCC-4A50-9433-05A03A7B5734}" name="Issue Persistence" dataDxfId="26"/>
    <tableColumn id="8" xr3:uid="{CFC464B5-B01C-4A07-ACE6-FA5BC73F2181}" name="Detection Method" dataDxfId="25"/>
    <tableColumn id="7" xr3:uid="{22605D4C-43F2-4922-A752-CA2406530E7F}" name="Location in Asset" dataDxfId="24"/>
    <tableColumn id="14" xr3:uid="{41BD976E-6CDB-4D9F-9A78-08730E6674FF}" name="Example" dataDxfId="23" dataCellStyle="Hyperlink"/>
    <tableColumn id="13" xr3:uid="{4CBDA896-EE96-465E-B746-1D1AC0CF2B9F}" name="Note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4" totalsRowShown="0" headerRowDxfId="21" dataDxfId="20">
  <autoFilter ref="A1:B4" xr:uid="{00000000-0009-0000-0100-000001000000}"/>
  <tableColumns count="2">
    <tableColumn id="2" xr3:uid="{00000000-0010-0000-0100-000002000000}" name="Issue Name" dataDxfId="19"/>
    <tableColumn id="3" xr3:uid="{00000000-0010-0000-0100-000003000000}" name="Examp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B19" totalsRowShown="0" headerRowDxfId="17" dataDxfId="16">
  <autoFilter ref="A2:B19" xr:uid="{00000000-0009-0000-0100-000003000000}"/>
  <tableColumns count="2">
    <tableColumn id="1" xr3:uid="{00000000-0010-0000-0200-000001000000}" name="Browser or Tool" dataDxfId="15"/>
    <tableColumn id="2" xr3:uid="{00000000-0010-0000-0200-000002000000}" name="Version"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A56" totalsRowShown="0" headerRowDxfId="13" dataDxfId="12">
  <autoFilter ref="A1:A56" xr:uid="{00000000-0009-0000-0100-000004000000}"/>
  <sortState xmlns:xlrd2="http://schemas.microsoft.com/office/spreadsheetml/2017/richdata2" ref="A2:A56">
    <sortCondition ref="A1:A56"/>
  </sortState>
  <tableColumns count="1">
    <tableColumn id="1" xr3:uid="{00000000-0010-0000-0300-000001000000}" name="WCAG Criterion"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table" Target="../tables/table4.xm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499984740745262"/>
  </sheetPr>
  <dimension ref="A1:K31"/>
  <sheetViews>
    <sheetView workbookViewId="0">
      <selection activeCell="B8" sqref="B8"/>
    </sheetView>
  </sheetViews>
  <sheetFormatPr defaultColWidth="8.85546875" defaultRowHeight="15" x14ac:dyDescent="0.25"/>
  <cols>
    <col min="1" max="1" width="24.140625" style="1" customWidth="1"/>
    <col min="2" max="2" width="75.28515625" style="1" customWidth="1"/>
    <col min="3" max="8" width="10.7109375" style="1" customWidth="1"/>
    <col min="9" max="10" width="8.85546875" style="1"/>
    <col min="11" max="11" width="11" style="1" bestFit="1" customWidth="1"/>
    <col min="12" max="16384" width="8.85546875" style="1"/>
  </cols>
  <sheetData>
    <row r="1" spans="1:11" ht="26.25" x14ac:dyDescent="0.25">
      <c r="A1" s="68" t="s">
        <v>0</v>
      </c>
      <c r="B1" s="68"/>
      <c r="C1" s="3"/>
      <c r="D1" s="3"/>
      <c r="E1" s="3"/>
      <c r="F1" s="3"/>
      <c r="G1" s="3"/>
      <c r="H1" s="3"/>
      <c r="I1" s="8"/>
      <c r="J1" s="8"/>
      <c r="K1" s="8"/>
    </row>
    <row r="2" spans="1:11" ht="18" x14ac:dyDescent="0.25">
      <c r="A2" s="69" t="s">
        <v>112</v>
      </c>
      <c r="B2" s="69"/>
      <c r="C2" s="4"/>
      <c r="D2" s="4"/>
      <c r="E2" s="4"/>
      <c r="F2" s="4"/>
      <c r="G2" s="4"/>
      <c r="H2" s="4"/>
      <c r="I2" s="8"/>
      <c r="J2" s="8"/>
      <c r="K2" s="8"/>
    </row>
    <row r="3" spans="1:11" ht="15.75" x14ac:dyDescent="0.25">
      <c r="A3" s="10"/>
      <c r="B3" s="11"/>
      <c r="C3" s="8"/>
      <c r="D3" s="8"/>
      <c r="E3" s="8"/>
      <c r="F3" s="8"/>
      <c r="G3" s="8"/>
      <c r="H3" s="8"/>
      <c r="I3" s="8"/>
      <c r="J3" s="8"/>
      <c r="K3" s="8"/>
    </row>
    <row r="4" spans="1:11" ht="15.75" x14ac:dyDescent="0.25">
      <c r="A4" s="10"/>
      <c r="B4" s="11"/>
      <c r="C4" s="8"/>
      <c r="D4" s="8"/>
      <c r="E4" s="8"/>
      <c r="F4" s="8"/>
      <c r="G4" s="8"/>
      <c r="H4" s="8"/>
      <c r="I4" s="8"/>
      <c r="J4" s="8"/>
      <c r="K4" s="8"/>
    </row>
    <row r="5" spans="1:11" ht="15.75" x14ac:dyDescent="0.25">
      <c r="A5" s="12" t="s">
        <v>1</v>
      </c>
      <c r="B5" s="28" t="s">
        <v>175</v>
      </c>
      <c r="C5" s="20"/>
      <c r="D5" s="20"/>
      <c r="E5" s="20"/>
      <c r="F5" s="20"/>
      <c r="G5" s="20"/>
      <c r="H5" s="20"/>
      <c r="I5" s="8"/>
      <c r="J5" s="8"/>
      <c r="K5" s="21"/>
    </row>
    <row r="6" spans="1:11" ht="15.75" x14ac:dyDescent="0.25">
      <c r="A6" s="13" t="s">
        <v>2</v>
      </c>
      <c r="B6" s="35" t="s">
        <v>174</v>
      </c>
      <c r="C6" s="20"/>
      <c r="D6" s="20"/>
      <c r="E6" s="20"/>
      <c r="F6" s="20"/>
      <c r="G6" s="20"/>
      <c r="H6" s="20"/>
      <c r="I6" s="8"/>
      <c r="J6" s="8"/>
      <c r="K6" s="21"/>
    </row>
    <row r="7" spans="1:11" ht="15.75" x14ac:dyDescent="0.25">
      <c r="A7" s="13" t="s">
        <v>113</v>
      </c>
      <c r="B7" s="14" t="s">
        <v>203</v>
      </c>
      <c r="C7" s="20"/>
      <c r="D7" s="20"/>
      <c r="E7" s="20"/>
      <c r="F7" s="20"/>
      <c r="G7" s="20"/>
      <c r="H7" s="20"/>
      <c r="I7" s="8"/>
      <c r="J7" s="8"/>
      <c r="K7" s="21"/>
    </row>
    <row r="8" spans="1:11" ht="15.75" x14ac:dyDescent="0.2">
      <c r="A8" s="13" t="s">
        <v>3</v>
      </c>
      <c r="B8" s="34" t="s">
        <v>176</v>
      </c>
      <c r="D8" s="2"/>
      <c r="E8" s="2"/>
      <c r="F8" s="2"/>
      <c r="G8" s="2"/>
      <c r="H8" s="2"/>
      <c r="I8" s="8"/>
      <c r="J8" s="8"/>
      <c r="K8" s="21"/>
    </row>
    <row r="9" spans="1:11" ht="15.75" x14ac:dyDescent="0.25">
      <c r="A9" s="13" t="s">
        <v>4</v>
      </c>
      <c r="B9" s="30" t="s">
        <v>149</v>
      </c>
      <c r="C9" s="22"/>
      <c r="D9" s="20"/>
      <c r="E9" s="20"/>
      <c r="F9" s="20"/>
      <c r="G9" s="20"/>
      <c r="H9" s="20"/>
      <c r="I9" s="8"/>
      <c r="J9" s="8"/>
      <c r="K9" s="21"/>
    </row>
    <row r="10" spans="1:11" ht="15.75" x14ac:dyDescent="0.25">
      <c r="A10" s="15" t="s">
        <v>5</v>
      </c>
      <c r="B10" s="16" t="s">
        <v>130</v>
      </c>
      <c r="C10" s="22"/>
      <c r="D10" s="20"/>
      <c r="E10" s="20"/>
      <c r="F10" s="20"/>
      <c r="G10" s="20"/>
      <c r="H10" s="20"/>
      <c r="I10" s="8"/>
      <c r="J10" s="8"/>
      <c r="K10" s="21"/>
    </row>
    <row r="11" spans="1:11" ht="99" customHeight="1" x14ac:dyDescent="0.25">
      <c r="A11" s="15" t="s">
        <v>6</v>
      </c>
      <c r="B11" s="32" t="str">
        <f>_xlfn.TEXTJOIN(" , ",TRUE,_xlfn.UNIQUE('Issue List'!B2:B318))</f>
        <v>1.4.10 Reflow (AA) , 4.1.2 Name, Role, Value (A) , 1.2.5 Audio Description (Prerecorded) (AA) , 2.4.11 Focus Not Obscured (Minimum) (AA) , 1.4.1 Use of Color (A) , 2.4.7 Focus Visible (AA) , 2.4.1 Bypass Blocks (A) , 1.3.1 Info and Relationships (A) , 2.4.3 Focus Order (A) , 2.1.2 No Keyboard Trap (A) , 2.4.4 Link Purpose (In Context) (A)</v>
      </c>
      <c r="C11" s="22"/>
      <c r="D11" s="20"/>
      <c r="E11" s="20"/>
      <c r="F11" s="20"/>
      <c r="G11" s="20"/>
      <c r="H11" s="20"/>
      <c r="I11" s="8"/>
      <c r="J11" s="8"/>
      <c r="K11" s="21"/>
    </row>
    <row r="12" spans="1:11" ht="15.75" x14ac:dyDescent="0.25">
      <c r="A12" s="13" t="s">
        <v>7</v>
      </c>
      <c r="B12" s="32" t="s">
        <v>127</v>
      </c>
      <c r="C12" s="20"/>
      <c r="D12" s="20"/>
      <c r="E12" s="20"/>
      <c r="F12" s="20"/>
      <c r="G12" s="20"/>
      <c r="H12" s="20"/>
      <c r="I12" s="8"/>
      <c r="J12" s="8"/>
      <c r="K12" s="23"/>
    </row>
    <row r="13" spans="1:11" ht="15.75" x14ac:dyDescent="0.25">
      <c r="A13" s="13" t="s">
        <v>8</v>
      </c>
      <c r="B13" s="17">
        <f>COUNTIF('Issue List'!C:C,"Critical")</f>
        <v>4</v>
      </c>
      <c r="C13" s="20"/>
      <c r="D13" s="20"/>
      <c r="E13" s="20"/>
      <c r="F13" s="20"/>
      <c r="G13" s="20"/>
      <c r="H13" s="20"/>
      <c r="I13" s="8"/>
      <c r="J13" s="8"/>
      <c r="K13" s="8"/>
    </row>
    <row r="14" spans="1:11" ht="15.75" x14ac:dyDescent="0.25">
      <c r="A14" s="13" t="s">
        <v>9</v>
      </c>
      <c r="B14" s="17">
        <f>COUNTIF('Issue List'!C:C,"Significant")</f>
        <v>2</v>
      </c>
      <c r="C14" s="20"/>
      <c r="D14" s="20"/>
      <c r="E14" s="20"/>
      <c r="F14" s="20"/>
      <c r="G14" s="20"/>
      <c r="H14" s="20"/>
      <c r="I14" s="8"/>
      <c r="J14" s="8"/>
      <c r="K14" s="8"/>
    </row>
    <row r="15" spans="1:11" ht="15.75" x14ac:dyDescent="0.25">
      <c r="A15" s="18" t="s">
        <v>10</v>
      </c>
      <c r="B15" s="19">
        <f>COUNTIF('Issue List'!C:C,"Minor")</f>
        <v>7</v>
      </c>
      <c r="C15" s="8"/>
      <c r="D15" s="8"/>
      <c r="E15" s="8"/>
      <c r="F15" s="8"/>
      <c r="G15" s="8"/>
      <c r="H15" s="8"/>
      <c r="I15" s="8"/>
      <c r="J15" s="8"/>
      <c r="K15" s="8"/>
    </row>
    <row r="16" spans="1:11" ht="15.75" x14ac:dyDescent="0.25">
      <c r="A16" s="8"/>
      <c r="B16" s="5"/>
      <c r="C16" s="5"/>
      <c r="D16" s="5"/>
      <c r="E16" s="5"/>
      <c r="F16" s="5"/>
      <c r="G16" s="5"/>
      <c r="H16" s="5"/>
      <c r="I16" s="8"/>
      <c r="J16" s="8"/>
      <c r="K16" s="8"/>
    </row>
    <row r="17" spans="1:11" x14ac:dyDescent="0.25">
      <c r="A17" s="8"/>
      <c r="B17" s="8"/>
      <c r="C17" s="24"/>
      <c r="D17" s="24"/>
      <c r="E17" s="24"/>
      <c r="F17" s="24"/>
      <c r="G17" s="24"/>
      <c r="H17" s="24"/>
      <c r="I17" s="8"/>
      <c r="J17" s="8"/>
      <c r="K17" s="8"/>
    </row>
    <row r="18" spans="1:11" x14ac:dyDescent="0.25">
      <c r="B18" s="8"/>
      <c r="C18" s="24"/>
      <c r="D18" s="24"/>
      <c r="E18" s="24"/>
      <c r="F18" s="24"/>
      <c r="G18" s="24"/>
      <c r="H18" s="24"/>
    </row>
    <row r="19" spans="1:11" x14ac:dyDescent="0.25">
      <c r="B19" s="8"/>
      <c r="C19" s="24"/>
      <c r="D19" s="24"/>
      <c r="E19" s="24"/>
      <c r="F19" s="24"/>
      <c r="G19" s="24"/>
      <c r="H19" s="24"/>
    </row>
    <row r="20" spans="1:11" x14ac:dyDescent="0.25">
      <c r="B20" s="8"/>
      <c r="C20" s="24"/>
      <c r="D20" s="24"/>
      <c r="E20" s="24"/>
      <c r="F20" s="24"/>
      <c r="G20" s="24"/>
      <c r="H20" s="24"/>
    </row>
    <row r="21" spans="1:11" x14ac:dyDescent="0.25">
      <c r="B21" s="8"/>
      <c r="C21" s="24"/>
      <c r="D21" s="24"/>
      <c r="E21" s="24"/>
      <c r="F21" s="24"/>
      <c r="G21" s="24"/>
      <c r="H21" s="24"/>
    </row>
    <row r="22" spans="1:11" x14ac:dyDescent="0.25">
      <c r="B22" s="8"/>
      <c r="C22" s="24"/>
      <c r="D22" s="24"/>
      <c r="E22" s="24"/>
      <c r="F22" s="24"/>
      <c r="G22" s="24"/>
      <c r="H22" s="24"/>
    </row>
    <row r="23" spans="1:11" x14ac:dyDescent="0.25">
      <c r="B23" s="8"/>
      <c r="C23" s="24"/>
      <c r="D23" s="24"/>
      <c r="E23" s="24"/>
      <c r="F23" s="24"/>
      <c r="G23" s="24"/>
      <c r="H23" s="24"/>
    </row>
    <row r="24" spans="1:11" x14ac:dyDescent="0.25">
      <c r="B24" s="8"/>
      <c r="C24" s="24"/>
      <c r="D24" s="24"/>
      <c r="E24" s="24"/>
      <c r="F24" s="24"/>
      <c r="G24" s="24"/>
      <c r="H24" s="24"/>
    </row>
    <row r="25" spans="1:11" x14ac:dyDescent="0.25">
      <c r="B25" s="8"/>
      <c r="C25" s="24"/>
      <c r="D25" s="24"/>
      <c r="E25" s="24"/>
      <c r="F25" s="24"/>
      <c r="G25" s="24"/>
      <c r="H25" s="24"/>
    </row>
    <row r="26" spans="1:11" x14ac:dyDescent="0.25">
      <c r="B26" s="8"/>
      <c r="C26" s="24"/>
      <c r="D26" s="24"/>
      <c r="E26" s="24"/>
      <c r="F26" s="24"/>
      <c r="G26" s="24"/>
      <c r="H26" s="24"/>
    </row>
    <row r="27" spans="1:11" x14ac:dyDescent="0.25">
      <c r="B27" s="8"/>
      <c r="C27" s="24"/>
      <c r="D27" s="24"/>
      <c r="E27" s="24"/>
      <c r="F27" s="24"/>
      <c r="G27" s="24"/>
      <c r="H27" s="24"/>
    </row>
    <row r="28" spans="1:11" x14ac:dyDescent="0.25">
      <c r="B28" s="8"/>
      <c r="C28" s="24"/>
      <c r="D28" s="24"/>
      <c r="E28" s="24"/>
      <c r="F28" s="24"/>
      <c r="G28" s="24"/>
      <c r="H28" s="24"/>
    </row>
    <row r="29" spans="1:11" x14ac:dyDescent="0.25">
      <c r="B29" s="8"/>
      <c r="C29" s="24"/>
      <c r="D29" s="24"/>
      <c r="E29" s="24"/>
      <c r="F29" s="24"/>
      <c r="G29" s="24"/>
      <c r="H29" s="24"/>
    </row>
    <row r="30" spans="1:11" x14ac:dyDescent="0.25">
      <c r="B30" s="8"/>
      <c r="C30" s="24"/>
      <c r="D30" s="24"/>
      <c r="E30" s="24"/>
      <c r="F30" s="24"/>
      <c r="G30" s="24"/>
      <c r="H30" s="24"/>
    </row>
    <row r="31" spans="1:11" x14ac:dyDescent="0.25">
      <c r="B31" s="8"/>
      <c r="C31" s="24"/>
      <c r="D31" s="24"/>
      <c r="E31" s="24"/>
      <c r="F31" s="24"/>
      <c r="G31" s="24"/>
      <c r="H31" s="24"/>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6" operator="containsText" text="Minor Remediation">
      <formula>NOT(ISERROR(SEARCH("Minor Remediation",B10)))</formula>
    </cfRule>
    <cfRule type="containsText" dxfId="5" priority="7" operator="containsText" text="No Remediation">
      <formula>NOT(ISERROR(SEARCH("No Remediation",B10)))</formula>
    </cfRule>
    <cfRule type="containsText" dxfId="4" priority="8" operator="containsText" text="Blank">
      <formula>NOT(ISERROR(SEARCH("Blank",B10)))</formula>
    </cfRule>
    <cfRule type="containsText" dxfId="3" priority="9" operator="containsText" text="Approved">
      <formula>NOT(ISERROR(SEARCH("Approved",B10)))</formula>
    </cfRule>
    <cfRule type="cellIs" dxfId="2" priority="10" operator="equal">
      <formula>"Not Approved"</formula>
    </cfRule>
    <cfRule type="cellIs" dxfId="1" priority="11" operator="equal">
      <formula>"Conditionally Approved"</formula>
    </cfRule>
    <cfRule type="cellIs" dxfId="0" priority="12" operator="equal">
      <formula>"Approved"</formula>
    </cfRule>
  </conditionalFormatting>
  <dataValidations count="2">
    <dataValidation type="list" allowBlank="1" showInputMessage="1" showErrorMessage="1" promptTitle="Select a Status" sqref="B10" xr:uid="{00000000-0002-0000-0000-000000000000}">
      <formula1>"Select a Status, No Remediation, Minor Remediation, Moderate Remediation, Extensive Remediation"</formula1>
    </dataValidation>
    <dataValidation type="list" allowBlank="1" showInputMessage="1" showErrorMessage="1" sqref="B7" xr:uid="{00000000-0002-0000-0000-000001000000}">
      <formula1>"Select one, Excel, PDF, Webpage, Word Document, Video"</formula1>
    </dataValidation>
  </dataValidations>
  <pageMargins left="0.7" right="0.7" top="0.75" bottom="0.75" header="0.3" footer="0.3"/>
  <pageSetup orientation="portrait" horizontalDpi="100" verticalDpi="1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59999389629810485"/>
  </sheetPr>
  <dimension ref="A1:AB15"/>
  <sheetViews>
    <sheetView tabSelected="1" topLeftCell="A5" zoomScale="85" zoomScaleNormal="85" workbookViewId="0">
      <selection activeCell="A14" sqref="A14"/>
    </sheetView>
  </sheetViews>
  <sheetFormatPr defaultColWidth="9.140625" defaultRowHeight="15.75" x14ac:dyDescent="0.25"/>
  <cols>
    <col min="1" max="1" width="52" style="37" customWidth="1"/>
    <col min="2" max="2" width="27.7109375" style="31" customWidth="1"/>
    <col min="3" max="3" width="9.140625" style="67" customWidth="1"/>
    <col min="4" max="4" width="25.7109375" style="67" customWidth="1"/>
    <col min="5" max="5" width="21.5703125" style="67" bestFit="1" customWidth="1"/>
    <col min="6" max="6" width="21.5703125" style="67" customWidth="1"/>
    <col min="7" max="7" width="30.7109375" style="67" customWidth="1"/>
    <col min="8" max="8" width="23.140625" style="31" bestFit="1" customWidth="1"/>
    <col min="9" max="9" width="27.85546875" style="31" customWidth="1"/>
    <col min="10" max="10" width="65.42578125" style="67" customWidth="1"/>
    <col min="11" max="11" width="34.7109375" style="67" customWidth="1"/>
    <col min="12" max="12" width="44" style="31" customWidth="1"/>
    <col min="13" max="13" width="22.140625" style="31" bestFit="1" customWidth="1"/>
    <col min="14" max="14" width="18.85546875" style="67" bestFit="1" customWidth="1"/>
    <col min="15" max="15" width="27.7109375" style="31" customWidth="1"/>
    <col min="16" max="16" width="18.85546875" style="67" bestFit="1" customWidth="1"/>
    <col min="17" max="17" width="16.85546875" style="67" bestFit="1" customWidth="1"/>
    <col min="18" max="18" width="11.7109375" style="67" customWidth="1"/>
    <col min="19" max="16384" width="9.140625" style="67"/>
  </cols>
  <sheetData>
    <row r="1" spans="1:28" s="66" customFormat="1" ht="31.5" x14ac:dyDescent="0.25">
      <c r="A1" s="36" t="s">
        <v>11</v>
      </c>
      <c r="B1" s="65" t="s">
        <v>12</v>
      </c>
      <c r="C1" s="65" t="s">
        <v>13</v>
      </c>
      <c r="D1" s="65" t="s">
        <v>14</v>
      </c>
      <c r="E1" s="65" t="s">
        <v>15</v>
      </c>
      <c r="F1" s="65" t="s">
        <v>16</v>
      </c>
      <c r="G1" s="65" t="s">
        <v>17</v>
      </c>
      <c r="H1" s="65" t="s">
        <v>18</v>
      </c>
      <c r="I1" s="65" t="s">
        <v>19</v>
      </c>
      <c r="J1" s="65" t="s">
        <v>20</v>
      </c>
      <c r="K1" s="65" t="s">
        <v>21</v>
      </c>
      <c r="L1" s="65" t="s">
        <v>22</v>
      </c>
    </row>
    <row r="2" spans="1:28" s="41" customFormat="1" ht="45.75" customHeight="1" x14ac:dyDescent="0.25">
      <c r="A2" s="38" t="s">
        <v>178</v>
      </c>
      <c r="B2" s="39" t="s">
        <v>59</v>
      </c>
      <c r="C2" s="39" t="s">
        <v>116</v>
      </c>
      <c r="D2" s="39" t="s">
        <v>179</v>
      </c>
      <c r="E2" s="39" t="s">
        <v>180</v>
      </c>
      <c r="F2" s="39" t="s">
        <v>117</v>
      </c>
      <c r="G2" s="39" t="s">
        <v>118</v>
      </c>
      <c r="H2" s="39" t="s">
        <v>115</v>
      </c>
      <c r="I2" s="39" t="s">
        <v>132</v>
      </c>
      <c r="J2" s="39" t="s">
        <v>206</v>
      </c>
      <c r="K2" s="40"/>
      <c r="L2" s="39"/>
    </row>
    <row r="3" spans="1:28" s="54" customFormat="1" ht="38.25" customHeight="1" x14ac:dyDescent="0.25">
      <c r="A3" s="55" t="s">
        <v>137</v>
      </c>
      <c r="B3" s="51" t="s">
        <v>100</v>
      </c>
      <c r="C3" s="52" t="s">
        <v>138</v>
      </c>
      <c r="D3" s="52" t="s">
        <v>183</v>
      </c>
      <c r="E3" s="52" t="s">
        <v>205</v>
      </c>
      <c r="F3" s="52" t="s">
        <v>139</v>
      </c>
      <c r="G3" s="52" t="s">
        <v>140</v>
      </c>
      <c r="H3" s="52" t="s">
        <v>115</v>
      </c>
      <c r="I3" s="52" t="s">
        <v>141</v>
      </c>
      <c r="J3" s="52" t="s">
        <v>173</v>
      </c>
      <c r="K3" s="53"/>
      <c r="L3" s="53"/>
      <c r="M3" s="53"/>
      <c r="N3" s="53"/>
      <c r="O3" s="53"/>
      <c r="P3" s="53"/>
      <c r="Q3" s="53"/>
      <c r="R3" s="53"/>
      <c r="S3" s="53"/>
      <c r="T3" s="53"/>
      <c r="U3" s="53"/>
      <c r="V3" s="53"/>
      <c r="W3" s="53"/>
      <c r="X3" s="53"/>
      <c r="Y3" s="53"/>
      <c r="Z3" s="53"/>
      <c r="AA3" s="53"/>
      <c r="AB3" s="53"/>
    </row>
    <row r="4" spans="1:28" s="58" customFormat="1" ht="39.75" customHeight="1" x14ac:dyDescent="0.25">
      <c r="A4" s="57" t="s">
        <v>142</v>
      </c>
      <c r="B4" s="39" t="s">
        <v>52</v>
      </c>
      <c r="C4" s="58" t="s">
        <v>116</v>
      </c>
      <c r="D4" s="58" t="s">
        <v>143</v>
      </c>
      <c r="E4" s="58" t="s">
        <v>144</v>
      </c>
      <c r="F4" s="58" t="s">
        <v>145</v>
      </c>
      <c r="G4" s="58" t="s">
        <v>146</v>
      </c>
      <c r="H4" s="59" t="s">
        <v>123</v>
      </c>
      <c r="I4" s="59" t="s">
        <v>147</v>
      </c>
      <c r="J4" s="59" t="s">
        <v>148</v>
      </c>
      <c r="L4" s="59"/>
      <c r="M4" s="59"/>
      <c r="O4" s="59"/>
    </row>
    <row r="5" spans="1:28" s="45" customFormat="1" ht="37.5" customHeight="1" x14ac:dyDescent="0.25">
      <c r="A5" s="44" t="s">
        <v>181</v>
      </c>
      <c r="B5" s="51" t="s">
        <v>74</v>
      </c>
      <c r="C5" s="45" t="s">
        <v>114</v>
      </c>
      <c r="D5" s="45" t="s">
        <v>207</v>
      </c>
      <c r="E5" s="45" t="s">
        <v>150</v>
      </c>
      <c r="F5" s="45" t="s">
        <v>151</v>
      </c>
      <c r="G5" s="45" t="s">
        <v>152</v>
      </c>
      <c r="H5" s="46" t="s">
        <v>123</v>
      </c>
      <c r="I5" s="45" t="s">
        <v>182</v>
      </c>
      <c r="J5" s="45" t="s">
        <v>208</v>
      </c>
      <c r="L5" s="47"/>
      <c r="M5" s="47"/>
      <c r="O5" s="47"/>
    </row>
    <row r="6" spans="1:28" s="39" customFormat="1" ht="37.5" customHeight="1" x14ac:dyDescent="0.25">
      <c r="A6" s="38" t="s">
        <v>119</v>
      </c>
      <c r="B6" s="39" t="s">
        <v>58</v>
      </c>
      <c r="C6" s="39" t="s">
        <v>114</v>
      </c>
      <c r="D6" s="39" t="s">
        <v>209</v>
      </c>
      <c r="E6" s="39" t="s">
        <v>120</v>
      </c>
      <c r="F6" s="39" t="s">
        <v>121</v>
      </c>
      <c r="G6" s="39" t="s">
        <v>122</v>
      </c>
      <c r="H6" s="39" t="s">
        <v>115</v>
      </c>
      <c r="I6" s="39" t="s">
        <v>124</v>
      </c>
      <c r="J6" s="39" t="s">
        <v>210</v>
      </c>
      <c r="K6" s="40"/>
      <c r="M6" s="42"/>
      <c r="O6" s="42"/>
    </row>
    <row r="7" spans="1:28" s="45" customFormat="1" ht="37.5" customHeight="1" x14ac:dyDescent="0.25">
      <c r="A7" s="44" t="s">
        <v>165</v>
      </c>
      <c r="B7" s="51" t="s">
        <v>80</v>
      </c>
      <c r="C7" s="45" t="s">
        <v>116</v>
      </c>
      <c r="D7" s="64" t="s">
        <v>184</v>
      </c>
      <c r="E7" s="45" t="s">
        <v>185</v>
      </c>
      <c r="F7" s="45" t="s">
        <v>186</v>
      </c>
      <c r="G7" s="45" t="s">
        <v>187</v>
      </c>
      <c r="H7" s="39" t="s">
        <v>126</v>
      </c>
      <c r="I7" s="47" t="s">
        <v>147</v>
      </c>
      <c r="J7" s="45" t="s">
        <v>188</v>
      </c>
      <c r="L7" s="47"/>
      <c r="M7" s="47"/>
      <c r="O7" s="47"/>
    </row>
    <row r="8" spans="1:28" s="61" customFormat="1" ht="37.5" customHeight="1" x14ac:dyDescent="0.25">
      <c r="A8" s="60" t="s">
        <v>166</v>
      </c>
      <c r="B8" s="39" t="s">
        <v>73</v>
      </c>
      <c r="D8" s="63" t="s">
        <v>211</v>
      </c>
      <c r="E8" s="61" t="s">
        <v>167</v>
      </c>
      <c r="F8" s="61" t="s">
        <v>168</v>
      </c>
      <c r="G8" s="61" t="s">
        <v>169</v>
      </c>
      <c r="H8" s="61" t="s">
        <v>123</v>
      </c>
      <c r="I8" s="61" t="s">
        <v>170</v>
      </c>
      <c r="J8" s="61" t="s">
        <v>171</v>
      </c>
      <c r="L8" s="62"/>
      <c r="M8" s="62"/>
      <c r="O8" s="62"/>
    </row>
    <row r="9" spans="1:28" s="43" customFormat="1" ht="48" customHeight="1" x14ac:dyDescent="0.25">
      <c r="A9" s="55" t="s">
        <v>133</v>
      </c>
      <c r="B9" s="51" t="s">
        <v>53</v>
      </c>
      <c r="C9" s="51" t="s">
        <v>114</v>
      </c>
      <c r="D9" s="43" t="s">
        <v>177</v>
      </c>
      <c r="E9" s="43" t="s">
        <v>134</v>
      </c>
      <c r="F9" s="43" t="s">
        <v>135</v>
      </c>
      <c r="G9" s="43" t="s">
        <v>136</v>
      </c>
      <c r="H9" s="56" t="s">
        <v>115</v>
      </c>
      <c r="I9" s="56" t="s">
        <v>147</v>
      </c>
      <c r="J9" s="43" t="s">
        <v>212</v>
      </c>
      <c r="L9" s="56"/>
      <c r="M9" s="56"/>
      <c r="O9" s="56"/>
    </row>
    <row r="10" spans="1:28" s="61" customFormat="1" ht="37.5" customHeight="1" x14ac:dyDescent="0.25">
      <c r="A10" s="60" t="s">
        <v>172</v>
      </c>
      <c r="B10" s="39" t="s">
        <v>53</v>
      </c>
      <c r="C10" s="51" t="s">
        <v>114</v>
      </c>
      <c r="D10" s="61" t="s">
        <v>213</v>
      </c>
      <c r="E10" s="61" t="s">
        <v>189</v>
      </c>
      <c r="F10" s="61" t="s">
        <v>190</v>
      </c>
      <c r="G10" s="61" t="s">
        <v>191</v>
      </c>
      <c r="H10" s="61" t="s">
        <v>115</v>
      </c>
      <c r="I10" s="62" t="s">
        <v>125</v>
      </c>
      <c r="J10" s="61" t="s">
        <v>220</v>
      </c>
      <c r="L10" s="62"/>
      <c r="M10" s="62"/>
      <c r="O10" s="62"/>
    </row>
    <row r="11" spans="1:28" s="49" customFormat="1" ht="56.25" customHeight="1" x14ac:dyDescent="0.25">
      <c r="A11" s="48" t="s">
        <v>159</v>
      </c>
      <c r="B11" s="51" t="s">
        <v>76</v>
      </c>
      <c r="C11" s="49" t="s">
        <v>138</v>
      </c>
      <c r="D11" s="49" t="s">
        <v>160</v>
      </c>
      <c r="E11" s="49" t="s">
        <v>161</v>
      </c>
      <c r="F11" s="49" t="s">
        <v>162</v>
      </c>
      <c r="G11" s="49" t="s">
        <v>163</v>
      </c>
      <c r="H11" s="50" t="s">
        <v>115</v>
      </c>
      <c r="I11" s="52" t="s">
        <v>124</v>
      </c>
      <c r="J11" s="49" t="s">
        <v>164</v>
      </c>
      <c r="L11" s="50"/>
      <c r="M11" s="50"/>
      <c r="O11" s="50"/>
    </row>
    <row r="12" spans="1:28" s="61" customFormat="1" ht="37.5" customHeight="1" x14ac:dyDescent="0.25">
      <c r="A12" s="60" t="s">
        <v>153</v>
      </c>
      <c r="B12" s="39" t="s">
        <v>53</v>
      </c>
      <c r="C12" s="61" t="s">
        <v>114</v>
      </c>
      <c r="D12" s="61" t="s">
        <v>154</v>
      </c>
      <c r="E12" s="61" t="s">
        <v>155</v>
      </c>
      <c r="F12" s="61" t="s">
        <v>156</v>
      </c>
      <c r="G12" s="61" t="s">
        <v>157</v>
      </c>
      <c r="H12" s="61" t="s">
        <v>115</v>
      </c>
      <c r="I12" s="61" t="s">
        <v>125</v>
      </c>
      <c r="J12" s="61" t="s">
        <v>158</v>
      </c>
      <c r="L12" s="62"/>
      <c r="M12" s="62"/>
      <c r="O12" s="62"/>
    </row>
    <row r="13" spans="1:28" s="49" customFormat="1" ht="57.75" customHeight="1" x14ac:dyDescent="0.25">
      <c r="A13" s="48" t="s">
        <v>193</v>
      </c>
      <c r="B13" s="51" t="s">
        <v>68</v>
      </c>
      <c r="C13" s="61" t="s">
        <v>114</v>
      </c>
      <c r="D13" s="49" t="s">
        <v>194</v>
      </c>
      <c r="E13" s="49" t="s">
        <v>195</v>
      </c>
      <c r="F13" s="49" t="s">
        <v>196</v>
      </c>
      <c r="G13" s="49" t="s">
        <v>197</v>
      </c>
      <c r="H13" s="61" t="s">
        <v>115</v>
      </c>
      <c r="I13" s="50" t="s">
        <v>124</v>
      </c>
      <c r="J13" s="49" t="s">
        <v>204</v>
      </c>
      <c r="L13" s="50"/>
      <c r="M13" s="50"/>
      <c r="O13" s="50"/>
    </row>
    <row r="14" spans="1:28" s="58" customFormat="1" ht="57.75" customHeight="1" x14ac:dyDescent="0.25">
      <c r="A14" s="57" t="s">
        <v>192</v>
      </c>
      <c r="B14" s="39" t="s">
        <v>77</v>
      </c>
      <c r="C14" s="61" t="s">
        <v>114</v>
      </c>
      <c r="D14" s="58" t="s">
        <v>198</v>
      </c>
      <c r="E14" s="58" t="s">
        <v>199</v>
      </c>
      <c r="F14" s="58" t="s">
        <v>200</v>
      </c>
      <c r="G14" s="58" t="s">
        <v>201</v>
      </c>
      <c r="H14" s="59" t="s">
        <v>126</v>
      </c>
      <c r="I14" s="59" t="s">
        <v>125</v>
      </c>
      <c r="J14" s="58" t="s">
        <v>202</v>
      </c>
      <c r="L14" s="59"/>
      <c r="M14" s="59"/>
      <c r="O14" s="59"/>
    </row>
    <row r="15" spans="1:28" s="72" customFormat="1" ht="85.5" customHeight="1" x14ac:dyDescent="0.25">
      <c r="A15" s="71" t="s">
        <v>214</v>
      </c>
      <c r="B15" s="51" t="s">
        <v>100</v>
      </c>
      <c r="C15" s="52" t="s">
        <v>116</v>
      </c>
      <c r="D15" s="72" t="s">
        <v>215</v>
      </c>
      <c r="E15" s="72" t="s">
        <v>216</v>
      </c>
      <c r="F15" s="72" t="s">
        <v>217</v>
      </c>
      <c r="G15" s="72" t="s">
        <v>218</v>
      </c>
      <c r="H15" s="59" t="s">
        <v>126</v>
      </c>
      <c r="I15" s="59" t="s">
        <v>125</v>
      </c>
      <c r="J15" s="72" t="s">
        <v>219</v>
      </c>
      <c r="L15" s="64"/>
      <c r="M15" s="64"/>
      <c r="O15" s="64"/>
    </row>
  </sheetData>
  <dataValidations count="4">
    <dataValidation type="list" allowBlank="1" showErrorMessage="1" sqref="C3 C15" xr:uid="{71B0CFB3-0B16-446D-AE3C-EBAC2DFFAB66}">
      <formula1>"Critical,Significant,Minor"</formula1>
    </dataValidation>
    <dataValidation type="list" allowBlank="1" showErrorMessage="1" sqref="H3" xr:uid="{7A95F128-64F1-49C9-BE82-F2D39E02F5AE}">
      <formula1>"Single,Partical,Global"</formula1>
    </dataValidation>
    <dataValidation type="list" allowBlank="1" showInputMessage="1" showErrorMessage="1" promptTitle="Severity Level" prompt="Critical - Stops all progress_x000a_Significant - Interferes with progress_x000a_Minor - Annoyance" sqref="C5:C6 C9:C10 C2" xr:uid="{EE03660C-7D25-42EE-B63C-71D768431A16}">
      <formula1>"Minor, Significant, Critical"</formula1>
    </dataValidation>
    <dataValidation type="list" allowBlank="1" showInputMessage="1" showErrorMessage="1" promptTitle="Issue Persistence" prompt="Global - The entire product_x000a_Partial - Several instances_x000a_Single - A single instance" sqref="H2 H5:H8 H10" xr:uid="{78FA892B-6A4F-4493-B184-71CD729C9CE3}">
      <formula1>"Global, Partial, Single"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tint="0.59999389629810485"/>
  </sheetPr>
  <dimension ref="A1:B3"/>
  <sheetViews>
    <sheetView workbookViewId="0">
      <selection activeCell="A2" sqref="A2:B3"/>
    </sheetView>
  </sheetViews>
  <sheetFormatPr defaultColWidth="9.140625" defaultRowHeight="15" x14ac:dyDescent="0.2"/>
  <cols>
    <col min="1" max="1" width="26.7109375" style="7" customWidth="1"/>
    <col min="2" max="2" width="112.7109375" style="7" customWidth="1"/>
    <col min="3" max="16384" width="9.140625" style="7"/>
  </cols>
  <sheetData>
    <row r="1" spans="1:2" x14ac:dyDescent="0.2">
      <c r="A1" s="9" t="s">
        <v>11</v>
      </c>
      <c r="B1" s="9" t="s">
        <v>21</v>
      </c>
    </row>
    <row r="2" spans="1:2" x14ac:dyDescent="0.2">
      <c r="A2" s="29"/>
      <c r="B2" s="33"/>
    </row>
    <row r="3" spans="1:2" x14ac:dyDescent="0.2">
      <c r="A3" s="29"/>
      <c r="B3" s="3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499984740745262"/>
  </sheetPr>
  <dimension ref="A1:B19"/>
  <sheetViews>
    <sheetView workbookViewId="0">
      <selection activeCell="B4" sqref="B4"/>
    </sheetView>
  </sheetViews>
  <sheetFormatPr defaultRowHeight="15" x14ac:dyDescent="0.25"/>
  <cols>
    <col min="1" max="1" width="43.42578125" customWidth="1"/>
    <col min="2" max="2" width="26.28515625" customWidth="1"/>
  </cols>
  <sheetData>
    <row r="1" spans="1:2" ht="18" x14ac:dyDescent="0.25">
      <c r="A1" s="70" t="s">
        <v>23</v>
      </c>
      <c r="B1" s="70"/>
    </row>
    <row r="2" spans="1:2" x14ac:dyDescent="0.25">
      <c r="A2" s="25" t="s">
        <v>24</v>
      </c>
      <c r="B2" s="24" t="s">
        <v>25</v>
      </c>
    </row>
    <row r="3" spans="1:2" x14ac:dyDescent="0.25">
      <c r="A3" s="26" t="s">
        <v>26</v>
      </c>
      <c r="B3" s="27" t="s">
        <v>131</v>
      </c>
    </row>
    <row r="4" spans="1:2" x14ac:dyDescent="0.25">
      <c r="A4" s="26" t="s">
        <v>27</v>
      </c>
      <c r="B4" s="27"/>
    </row>
    <row r="5" spans="1:2" x14ac:dyDescent="0.25">
      <c r="A5" s="26" t="s">
        <v>28</v>
      </c>
      <c r="B5" s="27" t="s">
        <v>128</v>
      </c>
    </row>
    <row r="6" spans="1:2" x14ac:dyDescent="0.25">
      <c r="A6" s="26" t="s">
        <v>29</v>
      </c>
      <c r="B6" s="27" t="s">
        <v>104</v>
      </c>
    </row>
    <row r="7" spans="1:2" x14ac:dyDescent="0.25">
      <c r="A7" s="26" t="s">
        <v>30</v>
      </c>
      <c r="B7" s="27" t="s">
        <v>105</v>
      </c>
    </row>
    <row r="8" spans="1:2" x14ac:dyDescent="0.25">
      <c r="A8" s="26" t="s">
        <v>31</v>
      </c>
      <c r="B8" s="27" t="s">
        <v>129</v>
      </c>
    </row>
    <row r="9" spans="1:2" ht="15" customHeight="1" x14ac:dyDescent="0.25">
      <c r="A9" s="26" t="s">
        <v>32</v>
      </c>
      <c r="B9" s="27" t="s">
        <v>107</v>
      </c>
    </row>
    <row r="10" spans="1:2" x14ac:dyDescent="0.25">
      <c r="A10" s="26" t="s">
        <v>33</v>
      </c>
      <c r="B10" s="27" t="s">
        <v>34</v>
      </c>
    </row>
    <row r="11" spans="1:2" x14ac:dyDescent="0.25">
      <c r="A11" s="26" t="s">
        <v>35</v>
      </c>
      <c r="B11" s="27" t="s">
        <v>36</v>
      </c>
    </row>
    <row r="12" spans="1:2" x14ac:dyDescent="0.25">
      <c r="A12" s="26" t="s">
        <v>37</v>
      </c>
      <c r="B12" s="27" t="s">
        <v>38</v>
      </c>
    </row>
    <row r="13" spans="1:2" x14ac:dyDescent="0.25">
      <c r="A13" s="26" t="s">
        <v>39</v>
      </c>
      <c r="B13" s="27" t="s">
        <v>106</v>
      </c>
    </row>
    <row r="14" spans="1:2" x14ac:dyDescent="0.25">
      <c r="A14" s="26" t="s">
        <v>40</v>
      </c>
      <c r="B14" s="27" t="s">
        <v>41</v>
      </c>
    </row>
    <row r="15" spans="1:2" x14ac:dyDescent="0.25">
      <c r="A15" s="26" t="s">
        <v>42</v>
      </c>
      <c r="B15" s="27" t="s">
        <v>108</v>
      </c>
    </row>
    <row r="16" spans="1:2" x14ac:dyDescent="0.25">
      <c r="A16" s="26" t="s">
        <v>43</v>
      </c>
      <c r="B16" s="27" t="s">
        <v>109</v>
      </c>
    </row>
    <row r="17" spans="1:2" x14ac:dyDescent="0.25">
      <c r="A17" s="26" t="s">
        <v>44</v>
      </c>
      <c r="B17" s="27" t="s">
        <v>110</v>
      </c>
    </row>
    <row r="18" spans="1:2" x14ac:dyDescent="0.25">
      <c r="A18" s="26" t="s">
        <v>45</v>
      </c>
      <c r="B18" s="27" t="s">
        <v>111</v>
      </c>
    </row>
    <row r="19" spans="1:2" x14ac:dyDescent="0.25">
      <c r="A19" s="27" t="s">
        <v>102</v>
      </c>
      <c r="B19" s="27" t="s">
        <v>103</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499984740745262"/>
  </sheetPr>
  <dimension ref="A1:A56"/>
  <sheetViews>
    <sheetView topLeftCell="A12" workbookViewId="0">
      <selection activeCell="A23" sqref="A23"/>
    </sheetView>
  </sheetViews>
  <sheetFormatPr defaultRowHeight="15" x14ac:dyDescent="0.25"/>
  <cols>
    <col min="1" max="1" width="63.140625" bestFit="1" customWidth="1"/>
  </cols>
  <sheetData>
    <row r="1" spans="1:1" ht="15.75" x14ac:dyDescent="0.25">
      <c r="A1" s="9" t="s">
        <v>46</v>
      </c>
    </row>
    <row r="2" spans="1:1" ht="15.75" x14ac:dyDescent="0.25">
      <c r="A2" s="6" t="s">
        <v>47</v>
      </c>
    </row>
    <row r="3" spans="1:1" ht="15.75" x14ac:dyDescent="0.25">
      <c r="A3" s="6" t="s">
        <v>48</v>
      </c>
    </row>
    <row r="4" spans="1:1" ht="15.75" x14ac:dyDescent="0.25">
      <c r="A4" s="6" t="s">
        <v>49</v>
      </c>
    </row>
    <row r="5" spans="1:1" ht="15.75" x14ac:dyDescent="0.25">
      <c r="A5" s="6" t="s">
        <v>50</v>
      </c>
    </row>
    <row r="6" spans="1:1" ht="15.75" x14ac:dyDescent="0.25">
      <c r="A6" s="6" t="s">
        <v>51</v>
      </c>
    </row>
    <row r="7" spans="1:1" ht="15.75" x14ac:dyDescent="0.25">
      <c r="A7" s="6" t="s">
        <v>52</v>
      </c>
    </row>
    <row r="8" spans="1:1" ht="15.75" x14ac:dyDescent="0.25">
      <c r="A8" s="6" t="s">
        <v>53</v>
      </c>
    </row>
    <row r="9" spans="1:1" ht="15.75" x14ac:dyDescent="0.25">
      <c r="A9" s="6" t="s">
        <v>54</v>
      </c>
    </row>
    <row r="10" spans="1:1" ht="15.75" x14ac:dyDescent="0.25">
      <c r="A10" s="6" t="s">
        <v>55</v>
      </c>
    </row>
    <row r="11" spans="1:1" ht="15.75" x14ac:dyDescent="0.25">
      <c r="A11" s="6" t="s">
        <v>56</v>
      </c>
    </row>
    <row r="12" spans="1:1" ht="15.75" x14ac:dyDescent="0.25">
      <c r="A12" s="6" t="s">
        <v>57</v>
      </c>
    </row>
    <row r="13" spans="1:1" ht="15.75" x14ac:dyDescent="0.25">
      <c r="A13" s="6" t="s">
        <v>58</v>
      </c>
    </row>
    <row r="14" spans="1:1" ht="15.75" x14ac:dyDescent="0.25">
      <c r="A14" s="6" t="s">
        <v>59</v>
      </c>
    </row>
    <row r="15" spans="1:1" ht="15.75" x14ac:dyDescent="0.25">
      <c r="A15" s="6" t="s">
        <v>60</v>
      </c>
    </row>
    <row r="16" spans="1:1" ht="15.75" x14ac:dyDescent="0.25">
      <c r="A16" s="6" t="s">
        <v>61</v>
      </c>
    </row>
    <row r="17" spans="1:1" ht="15.75" x14ac:dyDescent="0.25">
      <c r="A17" s="6" t="s">
        <v>62</v>
      </c>
    </row>
    <row r="18" spans="1:1" ht="15.75" x14ac:dyDescent="0.25">
      <c r="A18" s="6" t="s">
        <v>63</v>
      </c>
    </row>
    <row r="19" spans="1:1" ht="15.75" x14ac:dyDescent="0.25">
      <c r="A19" s="6" t="s">
        <v>64</v>
      </c>
    </row>
    <row r="20" spans="1:1" ht="15.75" x14ac:dyDescent="0.25">
      <c r="A20" s="6" t="s">
        <v>65</v>
      </c>
    </row>
    <row r="21" spans="1:1" ht="15.75" x14ac:dyDescent="0.25">
      <c r="A21" s="6" t="s">
        <v>66</v>
      </c>
    </row>
    <row r="22" spans="1:1" ht="15.75" x14ac:dyDescent="0.25">
      <c r="A22" s="6" t="s">
        <v>67</v>
      </c>
    </row>
    <row r="23" spans="1:1" ht="15.75" x14ac:dyDescent="0.25">
      <c r="A23" s="6" t="s">
        <v>68</v>
      </c>
    </row>
    <row r="24" spans="1:1" ht="15.75" x14ac:dyDescent="0.25">
      <c r="A24" s="6" t="s">
        <v>69</v>
      </c>
    </row>
    <row r="25" spans="1:1" ht="15.75" x14ac:dyDescent="0.25">
      <c r="A25" s="6" t="s">
        <v>70</v>
      </c>
    </row>
    <row r="26" spans="1:1" ht="15.75" x14ac:dyDescent="0.25">
      <c r="A26" s="6" t="s">
        <v>71</v>
      </c>
    </row>
    <row r="27" spans="1:1" ht="15.75" x14ac:dyDescent="0.25">
      <c r="A27" s="6" t="s">
        <v>72</v>
      </c>
    </row>
    <row r="28" spans="1:1" ht="15.75" x14ac:dyDescent="0.25">
      <c r="A28" s="6" t="s">
        <v>73</v>
      </c>
    </row>
    <row r="29" spans="1:1" ht="15.75" x14ac:dyDescent="0.25">
      <c r="A29" s="6" t="s">
        <v>74</v>
      </c>
    </row>
    <row r="30" spans="1:1" ht="15.75" x14ac:dyDescent="0.25">
      <c r="A30" s="6" t="s">
        <v>75</v>
      </c>
    </row>
    <row r="31" spans="1:1" ht="15.75" x14ac:dyDescent="0.25">
      <c r="A31" s="6" t="s">
        <v>76</v>
      </c>
    </row>
    <row r="32" spans="1:1" ht="15.75" x14ac:dyDescent="0.25">
      <c r="A32" s="6" t="s">
        <v>77</v>
      </c>
    </row>
    <row r="33" spans="1:1" ht="15.75" x14ac:dyDescent="0.25">
      <c r="A33" s="6" t="s">
        <v>78</v>
      </c>
    </row>
    <row r="34" spans="1:1" ht="15.75" x14ac:dyDescent="0.25">
      <c r="A34" s="6" t="s">
        <v>79</v>
      </c>
    </row>
    <row r="35" spans="1:1" ht="15.75" x14ac:dyDescent="0.25">
      <c r="A35" s="6" t="s">
        <v>80</v>
      </c>
    </row>
    <row r="36" spans="1:1" ht="15.75" x14ac:dyDescent="0.25">
      <c r="A36" s="6" t="s">
        <v>81</v>
      </c>
    </row>
    <row r="37" spans="1:1" ht="15.75" x14ac:dyDescent="0.25">
      <c r="A37" s="6" t="s">
        <v>82</v>
      </c>
    </row>
    <row r="38" spans="1:1" ht="15.75" x14ac:dyDescent="0.25">
      <c r="A38" s="6" t="s">
        <v>83</v>
      </c>
    </row>
    <row r="39" spans="1:1" ht="15.75" x14ac:dyDescent="0.25">
      <c r="A39" s="6" t="s">
        <v>84</v>
      </c>
    </row>
    <row r="40" spans="1:1" ht="15.75" x14ac:dyDescent="0.25">
      <c r="A40" s="6" t="s">
        <v>85</v>
      </c>
    </row>
    <row r="41" spans="1:1" ht="15.75" x14ac:dyDescent="0.25">
      <c r="A41" s="6" t="s">
        <v>86</v>
      </c>
    </row>
    <row r="42" spans="1:1" ht="15.75" x14ac:dyDescent="0.25">
      <c r="A42" s="6" t="s">
        <v>87</v>
      </c>
    </row>
    <row r="43" spans="1:1" ht="15.75" x14ac:dyDescent="0.25">
      <c r="A43" s="6" t="s">
        <v>88</v>
      </c>
    </row>
    <row r="44" spans="1:1" ht="15.75" x14ac:dyDescent="0.25">
      <c r="A44" s="6" t="s">
        <v>89</v>
      </c>
    </row>
    <row r="45" spans="1:1" ht="15.75" x14ac:dyDescent="0.25">
      <c r="A45" s="6" t="s">
        <v>90</v>
      </c>
    </row>
    <row r="46" spans="1:1" ht="15.75" x14ac:dyDescent="0.25">
      <c r="A46" s="6" t="s">
        <v>91</v>
      </c>
    </row>
    <row r="47" spans="1:1" ht="15.75" x14ac:dyDescent="0.25">
      <c r="A47" s="6" t="s">
        <v>92</v>
      </c>
    </row>
    <row r="48" spans="1:1" ht="15.75" x14ac:dyDescent="0.25">
      <c r="A48" s="6" t="s">
        <v>93</v>
      </c>
    </row>
    <row r="49" spans="1:1" ht="15.75" x14ac:dyDescent="0.25">
      <c r="A49" s="6" t="s">
        <v>94</v>
      </c>
    </row>
    <row r="50" spans="1:1" ht="15.75" x14ac:dyDescent="0.25">
      <c r="A50" s="6" t="s">
        <v>95</v>
      </c>
    </row>
    <row r="51" spans="1:1" ht="15.75" x14ac:dyDescent="0.25">
      <c r="A51" s="6" t="s">
        <v>96</v>
      </c>
    </row>
    <row r="52" spans="1:1" s="6" customFormat="1" x14ac:dyDescent="0.2">
      <c r="A52" s="6" t="s">
        <v>97</v>
      </c>
    </row>
    <row r="53" spans="1:1" ht="15.75" x14ac:dyDescent="0.25">
      <c r="A53" s="6" t="s">
        <v>98</v>
      </c>
    </row>
    <row r="54" spans="1:1" ht="15.75" x14ac:dyDescent="0.25">
      <c r="A54" s="6" t="s">
        <v>99</v>
      </c>
    </row>
    <row r="55" spans="1:1" ht="15.75" x14ac:dyDescent="0.25">
      <c r="A55" s="6" t="s">
        <v>100</v>
      </c>
    </row>
    <row r="56" spans="1:1" ht="15.75" x14ac:dyDescent="0.25">
      <c r="A56" s="6" t="s">
        <v>101</v>
      </c>
    </row>
  </sheetData>
  <hyperlinks>
    <hyperlink ref="A2" r:id="rId1" location="non-text-content" xr:uid="{00000000-0004-0000-0400-000000000000}"/>
    <hyperlink ref="A3" r:id="rId2" location="audio-only-and-video-only-prerecorded" xr:uid="{00000000-0004-0000-0400-000001000000}"/>
    <hyperlink ref="A4" r:id="rId3" location="captions-prerecorded" xr:uid="{00000000-0004-0000-0400-000002000000}"/>
    <hyperlink ref="A5" r:id="rId4" location="audio-description-or-media-alternative-prerecorded" xr:uid="{00000000-0004-0000-0400-000003000000}"/>
    <hyperlink ref="A6" r:id="rId5" location="captions-live" xr:uid="{00000000-0004-0000-0400-000004000000}"/>
    <hyperlink ref="A7" r:id="rId6" location="audio-description-prerecorded" xr:uid="{00000000-0004-0000-0400-000005000000}"/>
    <hyperlink ref="A8" r:id="rId7" location="info-and-relationships" xr:uid="{00000000-0004-0000-0400-000006000000}"/>
    <hyperlink ref="A9" r:id="rId8" location="meaningful-sequence" xr:uid="{00000000-0004-0000-0400-000007000000}"/>
    <hyperlink ref="A10" r:id="rId9" location="sensory-characteristics" xr:uid="{00000000-0004-0000-0400-000008000000}"/>
    <hyperlink ref="A11" r:id="rId10" location="orientation" xr:uid="{00000000-0004-0000-0400-000009000000}"/>
    <hyperlink ref="A12" r:id="rId11" location="identify-input-purpose" xr:uid="{00000000-0004-0000-0400-00000A000000}"/>
    <hyperlink ref="A13" r:id="rId12" location="use-of-color" xr:uid="{00000000-0004-0000-0400-00000B000000}"/>
    <hyperlink ref="A18" r:id="rId13" location="audio-control" xr:uid="{00000000-0004-0000-0400-00000C000000}"/>
    <hyperlink ref="A19" r:id="rId14" location="contrast-minimum" xr:uid="{00000000-0004-0000-0400-00000D000000}"/>
    <hyperlink ref="A20" r:id="rId15" location="resize-text" xr:uid="{00000000-0004-0000-0400-00000E000000}"/>
    <hyperlink ref="A21" r:id="rId16" location="images-of-text" xr:uid="{00000000-0004-0000-0400-00000F000000}"/>
    <hyperlink ref="A14" r:id="rId17" location="reflow" xr:uid="{00000000-0004-0000-0400-000010000000}"/>
    <hyperlink ref="A15" r:id="rId18" location="non-text-contrast" xr:uid="{00000000-0004-0000-0400-000011000000}"/>
    <hyperlink ref="A16" r:id="rId19" location="text-spacing" xr:uid="{00000000-0004-0000-0400-000012000000}"/>
    <hyperlink ref="A17" r:id="rId20" location="content-on-hover-or-focus" xr:uid="{00000000-0004-0000-0400-000013000000}"/>
    <hyperlink ref="A22" r:id="rId21" location="keyboard" xr:uid="{00000000-0004-0000-0400-000014000000}"/>
    <hyperlink ref="A23" r:id="rId22" location="no-keyboard-trap" xr:uid="{00000000-0004-0000-0400-000015000000}"/>
    <hyperlink ref="A24" r:id="rId23" location="character-key-shortcuts" xr:uid="{00000000-0004-0000-0400-000016000000}"/>
    <hyperlink ref="A25" r:id="rId24" location="timing-adjustable" xr:uid="{00000000-0004-0000-0400-000017000000}"/>
    <hyperlink ref="A26" r:id="rId25" location="pause-stop-hide" xr:uid="{00000000-0004-0000-0400-000018000000}"/>
    <hyperlink ref="A27" r:id="rId26" location="three-flashes-or-below-threshold" xr:uid="{00000000-0004-0000-0400-000019000000}"/>
    <hyperlink ref="A28" r:id="rId27" location="bypass-blocks" xr:uid="{00000000-0004-0000-0400-00001A000000}"/>
    <hyperlink ref="A30" r:id="rId28" location="page-titled" xr:uid="{00000000-0004-0000-0400-00001B000000}"/>
    <hyperlink ref="A31" r:id="rId29" location="focus-order" xr:uid="{00000000-0004-0000-0400-00001C000000}"/>
    <hyperlink ref="A32" r:id="rId30" location="link-purpose-in-context" xr:uid="{00000000-0004-0000-0400-00001D000000}"/>
    <hyperlink ref="A33" r:id="rId31" location="multiple-ways" xr:uid="{00000000-0004-0000-0400-00001E000000}"/>
    <hyperlink ref="A34" r:id="rId32" location="headings-and-labels" xr:uid="{00000000-0004-0000-0400-00001F000000}"/>
    <hyperlink ref="A35" r:id="rId33" location="focus-visible" xr:uid="{00000000-0004-0000-0400-000020000000}"/>
    <hyperlink ref="A29" r:id="rId34" location="focus-not-obscured-minimum" xr:uid="{00000000-0004-0000-0400-000021000000}"/>
    <hyperlink ref="A36" r:id="rId35" location="pointer-gestures" xr:uid="{00000000-0004-0000-0400-000022000000}"/>
    <hyperlink ref="A37" r:id="rId36" location="pointer-cancellation" xr:uid="{00000000-0004-0000-0400-000023000000}"/>
    <hyperlink ref="A38" r:id="rId37" location="label-in-name" xr:uid="{00000000-0004-0000-0400-000024000000}"/>
    <hyperlink ref="A39" r:id="rId38" location="motion-actuation" xr:uid="{00000000-0004-0000-0400-000025000000}"/>
    <hyperlink ref="A40" r:id="rId39" location="dragging-movements" xr:uid="{00000000-0004-0000-0400-000026000000}"/>
    <hyperlink ref="A41" r:id="rId40" location="target-size-minimum" xr:uid="{00000000-0004-0000-0400-000027000000}"/>
    <hyperlink ref="A42" r:id="rId41" location="language-of-page" xr:uid="{00000000-0004-0000-0400-000028000000}"/>
    <hyperlink ref="A43" r:id="rId42" location="language-of-parts" xr:uid="{00000000-0004-0000-0400-000029000000}"/>
    <hyperlink ref="A44" r:id="rId43" location="on-focus" xr:uid="{00000000-0004-0000-0400-00002A000000}"/>
    <hyperlink ref="A45" r:id="rId44" location="on-input" xr:uid="{00000000-0004-0000-0400-00002B000000}"/>
    <hyperlink ref="A46" r:id="rId45" location="consistent-navigation" xr:uid="{00000000-0004-0000-0400-00002C000000}"/>
    <hyperlink ref="A47" r:id="rId46" location="consistent-identification" xr:uid="{00000000-0004-0000-0400-00002D000000}"/>
    <hyperlink ref="A48" r:id="rId47" location="consistent-help" xr:uid="{00000000-0004-0000-0400-00002E000000}"/>
    <hyperlink ref="A49" r:id="rId48" location="error-identification" xr:uid="{00000000-0004-0000-0400-00002F000000}"/>
    <hyperlink ref="A50" r:id="rId49" location="labels-or-instructions" xr:uid="{00000000-0004-0000-0400-000030000000}"/>
    <hyperlink ref="A51" r:id="rId50" location="error-suggestion" xr:uid="{00000000-0004-0000-0400-000031000000}"/>
    <hyperlink ref="A52" r:id="rId51" location="error-prevention-legal-financial-data" xr:uid="{00000000-0004-0000-0400-000032000000}"/>
    <hyperlink ref="A53" r:id="rId52" location="redundant-entry" xr:uid="{00000000-0004-0000-0400-000033000000}"/>
    <hyperlink ref="A54" r:id="rId53" location="accessible-authentication-minimum" xr:uid="{00000000-0004-0000-0400-000034000000}"/>
    <hyperlink ref="A52:XFD52" r:id="rId54" location="name-role-value" display="4.1.2 Name, Role, Value (A)" xr:uid="{00000000-0004-0000-0400-000035000000}"/>
    <hyperlink ref="A56" r:id="rId55" location="status-messages" xr:uid="{00000000-0004-0000-0400-000036000000}"/>
  </hyperlinks>
  <pageMargins left="0.7" right="0.7" top="0.75" bottom="0.75" header="0.3" footer="0.3"/>
  <tableParts count="1">
    <tablePart r:id="rId5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87500F3657D74CBF050189AB045EBB" ma:contentTypeVersion="18" ma:contentTypeDescription="Create a new document." ma:contentTypeScope="" ma:versionID="7426d220f69b615140e7498b8476b412">
  <xsd:schema xmlns:xsd="http://www.w3.org/2001/XMLSchema" xmlns:xs="http://www.w3.org/2001/XMLSchema" xmlns:p="http://schemas.microsoft.com/office/2006/metadata/properties" xmlns:ns2="6136b370-9b09-4dfc-9b03-08bd01f60bbc" xmlns:ns3="a012520c-71f8-4b72-ada1-3c6aba3b7b8c" targetNamespace="http://schemas.microsoft.com/office/2006/metadata/properties" ma:root="true" ma:fieldsID="bdc5e56295a65ad51db03f49f0933321" ns2:_="" ns3:_="">
    <xsd:import namespace="6136b370-9b09-4dfc-9b03-08bd01f60bbc"/>
    <xsd:import namespace="a012520c-71f8-4b72-ada1-3c6aba3b7b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6b370-9b09-4dfc-9b03-08bd01f60bb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2520c-71f8-4b72-ada1-3c6aba3b7b8c"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a8779c9a-ea62-449c-a586-3b8813e78c07}" ma:internalName="TaxCatchAll" ma:showField="CatchAllData" ma:web="a012520c-71f8-4b72-ada1-3c6aba3b7b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136b370-9b09-4dfc-9b03-08bd01f60bbc">
      <Terms xmlns="http://schemas.microsoft.com/office/infopath/2007/PartnerControls"/>
    </lcf76f155ced4ddcb4097134ff3c332f>
    <TaxCatchAll xmlns="a012520c-71f8-4b72-ada1-3c6aba3b7b8c" xsi:nil="true"/>
    <SharedWithUsers xmlns="a012520c-71f8-4b72-ada1-3c6aba3b7b8c">
      <UserInfo>
        <DisplayName>Vennila Duraisamy</DisplayName>
        <AccountId>545</AccountId>
        <AccountType/>
      </UserInfo>
      <UserInfo>
        <DisplayName>Hannah Chipman</DisplayName>
        <AccountId>418</AccountId>
        <AccountType/>
      </UserInfo>
      <UserInfo>
        <DisplayName>Igor Shcherbinin</DisplayName>
        <AccountId>349</AccountId>
        <AccountType/>
      </UserInfo>
      <UserInfo>
        <DisplayName>Scott Boren</DisplayName>
        <AccountId>539</AccountId>
        <AccountType/>
      </UserInfo>
      <UserInfo>
        <DisplayName>Kristen Riquino</DisplayName>
        <AccountId>461</AccountId>
        <AccountType/>
      </UserInfo>
      <UserInfo>
        <DisplayName>Sangeetha Vinod</DisplayName>
        <AccountId>525</AccountId>
        <AccountType/>
      </UserInfo>
    </SharedWithUsers>
  </documentManagement>
</p:properties>
</file>

<file path=customXml/item4.xml>��
</file>

<file path=customXml/itemProps1.xml><?xml version="1.0" encoding="utf-8"?>
<ds:datastoreItem xmlns:ds="http://schemas.openxmlformats.org/officeDocument/2006/customXml" ds:itemID="{B102B2AB-A0AC-4DEE-9D4F-A911258BB20C}">
  <ds:schemaRefs>
    <ds:schemaRef ds:uri="http://schemas.microsoft.com/sharepoint/v3/contenttype/forms"/>
  </ds:schemaRefs>
</ds:datastoreItem>
</file>

<file path=customXml/itemProps2.xml><?xml version="1.0" encoding="utf-8"?>
<ds:datastoreItem xmlns:ds="http://schemas.openxmlformats.org/officeDocument/2006/customXml" ds:itemID="{108C30B0-672C-4EC8-BF69-80DA4F78B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6b370-9b09-4dfc-9b03-08bd01f60bbc"/>
    <ds:schemaRef ds:uri="a012520c-71f8-4b72-ada1-3c6aba3b7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EFBCBB-9C9D-4F6B-8D5A-EDC7AF7105C7}">
  <ds:schemaRefs>
    <ds:schemaRef ds:uri="http://schemas.microsoft.com/office/2006/metadata/properties"/>
    <ds:schemaRef ds:uri="http://schemas.microsoft.com/office/infopath/2007/PartnerControls"/>
    <ds:schemaRef ds:uri="6136b370-9b09-4dfc-9b03-08bd01f60bbc"/>
    <ds:schemaRef ds:uri="a012520c-71f8-4b72-ada1-3c6aba3b7b8c"/>
  </ds:schemaRefs>
</ds:datastoreItem>
</file>

<file path=customXml/itemProps4.xml><?xml version="1.0" encoding="utf-8"?>
<ds:datastoreItem xmlns:ds="http://schemas.openxmlformats.org/officeDocument/2006/customXml" ds:itemID="{2EC37A89-75A8-40EB-B94D-EC17E5597B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Jangam Mamilla</dc:creator>
  <cp:keywords>full; lreval</cp:keywords>
  <cp:lastModifiedBy>Aakanksha Saini</cp:lastModifiedBy>
  <cp:revision/>
  <dcterms:created xsi:type="dcterms:W3CDTF">2020-01-24T16:17:30Z</dcterms:created>
  <dcterms:modified xsi:type="dcterms:W3CDTF">2024-09-20T11:55:45Z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0x0101002687500F3657D74CBF050189AB045EBB</vt:lpwstr>
  </property>
  <property fmtid="{D5CDD505-2E9C-101B-9397-08002B2CF9AE}" pid="3" name="MediaServiceImageTags">
    <vt:lpwstr/>
  </property>
</Properties>
</file>